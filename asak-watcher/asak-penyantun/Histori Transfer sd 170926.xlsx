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ASAK SY2627\Penyantun\"/>
    </mc:Choice>
  </mc:AlternateContent>
  <xr:revisionPtr revIDLastSave="0" documentId="13_ncr:1_{21876846-B158-48F6-B2EE-628D995B0279}" xr6:coauthVersionLast="47" xr6:coauthVersionMax="47" xr10:uidLastSave="{00000000-0000-0000-0000-000000000000}"/>
  <bookViews>
    <workbookView xWindow="-120" yWindow="-120" windowWidth="20640" windowHeight="11160" xr2:uid="{30FA3308-6426-4BF4-918F-14D5F55B7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6" i="1" l="1"/>
  <c r="N184" i="1"/>
  <c r="AS124" i="1" l="1"/>
  <c r="AR124" i="1"/>
  <c r="AS123" i="1"/>
  <c r="AS120" i="1"/>
  <c r="AR120" i="1"/>
  <c r="AS85" i="1"/>
  <c r="AS84" i="1"/>
  <c r="AS83" i="1"/>
  <c r="AR83" i="1"/>
  <c r="AS118" i="1"/>
  <c r="AR118" i="1"/>
  <c r="AR92" i="1"/>
  <c r="AR82" i="1"/>
  <c r="AS117" i="1"/>
  <c r="AR117" i="1"/>
  <c r="AS80" i="1"/>
  <c r="AR80" i="1"/>
  <c r="AS116" i="1"/>
  <c r="AR116" i="1"/>
  <c r="AR56" i="1"/>
  <c r="AS56" i="1"/>
  <c r="AS115" i="1"/>
  <c r="AR115" i="1"/>
  <c r="AS114" i="1"/>
  <c r="AR114" i="1"/>
  <c r="AS113" i="1"/>
  <c r="AS79" i="1"/>
  <c r="AR79" i="1"/>
  <c r="AR78" i="1"/>
  <c r="AS78" i="1"/>
  <c r="AS77" i="1"/>
  <c r="AR77" i="1"/>
  <c r="AR76" i="1"/>
  <c r="AS76" i="1"/>
  <c r="AR181" i="1"/>
  <c r="AS181" i="1"/>
  <c r="AS55" i="1"/>
  <c r="AR55" i="1"/>
  <c r="AS54" i="1"/>
  <c r="AR54" i="1"/>
  <c r="AR29" i="1"/>
  <c r="AR28" i="1"/>
  <c r="AS27" i="1"/>
  <c r="AR27" i="1"/>
  <c r="AS26" i="1"/>
  <c r="AR26" i="1"/>
  <c r="AS51" i="1"/>
  <c r="AR51" i="1"/>
  <c r="AR10" i="1"/>
  <c r="AS25" i="1"/>
  <c r="AR128" i="1"/>
  <c r="AS35" i="1"/>
  <c r="AR35" i="1"/>
  <c r="AR111" i="1"/>
  <c r="AS24" i="1"/>
  <c r="AR24" i="1"/>
  <c r="AS178" i="1"/>
  <c r="AR178" i="1"/>
  <c r="AS23" i="1"/>
  <c r="AR23" i="1"/>
  <c r="AR49" i="1"/>
  <c r="H184" i="1"/>
  <c r="AS1" i="1"/>
  <c r="AQ69" i="1" s="1"/>
  <c r="AR69" i="1" s="1"/>
  <c r="AQ154" i="1" l="1"/>
  <c r="AR154" i="1" s="1"/>
  <c r="AQ89" i="1"/>
  <c r="AQ138" i="1"/>
  <c r="AR138" i="1" s="1"/>
  <c r="AQ34" i="1"/>
  <c r="AR34" i="1" s="1"/>
  <c r="AQ140" i="1"/>
  <c r="AR140" i="1" s="1"/>
  <c r="AQ137" i="1"/>
  <c r="AR137" i="1" s="1"/>
  <c r="AQ22" i="1"/>
  <c r="AR22" i="1" s="1"/>
  <c r="AQ153" i="1"/>
  <c r="AR153" i="1" s="1"/>
  <c r="AQ149" i="1"/>
  <c r="AR149" i="1" s="1"/>
  <c r="AQ135" i="1"/>
  <c r="AR135" i="1" s="1"/>
  <c r="AQ41" i="1"/>
  <c r="AR41" i="1" s="1"/>
  <c r="AQ166" i="1"/>
  <c r="AR166" i="1" s="1"/>
  <c r="AQ4" i="1"/>
  <c r="AR4" i="1" s="1"/>
  <c r="AQ130" i="1"/>
  <c r="AQ173" i="1"/>
  <c r="AR173" i="1" s="1"/>
  <c r="AQ174" i="1"/>
  <c r="AR174" i="1" s="1"/>
  <c r="AQ125" i="1"/>
  <c r="AQ131" i="1"/>
  <c r="AR131" i="1" s="1"/>
  <c r="AQ150" i="1"/>
  <c r="AR150" i="1" s="1"/>
  <c r="AQ168" i="1"/>
  <c r="AR168" i="1" s="1"/>
  <c r="AQ155" i="1"/>
  <c r="AR155" i="1" s="1"/>
  <c r="AQ134" i="1"/>
  <c r="AR134" i="1" s="1"/>
  <c r="AQ164" i="1"/>
  <c r="AR164" i="1" s="1"/>
  <c r="AQ152" i="1"/>
  <c r="AR152" i="1" s="1"/>
  <c r="AQ163" i="1"/>
  <c r="AR163" i="1" s="1"/>
  <c r="AQ136" i="1"/>
  <c r="AR136" i="1" s="1"/>
  <c r="AQ148" i="1"/>
  <c r="AR148" i="1" s="1"/>
  <c r="AQ105" i="1"/>
  <c r="AR105" i="1" s="1"/>
  <c r="AQ167" i="1"/>
  <c r="AR167" i="1" s="1"/>
  <c r="AQ44" i="1"/>
  <c r="AQ179" i="1"/>
  <c r="AR179" i="1" s="1"/>
  <c r="AQ47" i="1"/>
  <c r="AR47" i="1" s="1"/>
  <c r="AR125" i="1"/>
  <c r="L190" i="1"/>
  <c r="L193" i="1"/>
  <c r="L189" i="1"/>
  <c r="L192" i="1"/>
  <c r="L191" i="1"/>
  <c r="L188" i="1"/>
  <c r="AR31" i="1"/>
  <c r="AR130" i="1"/>
  <c r="AP178" i="1"/>
  <c r="AP163" i="1"/>
  <c r="AP174" i="1"/>
  <c r="AR8" i="1"/>
  <c r="AR9" i="1"/>
  <c r="AS111" i="1"/>
  <c r="AP154" i="1"/>
  <c r="AS154" i="1" s="1"/>
  <c r="AP135" i="1"/>
  <c r="AS135" i="1" s="1"/>
  <c r="AP105" i="1"/>
  <c r="AP128" i="1"/>
  <c r="AS128" i="1" s="1"/>
  <c r="AR25" i="1"/>
  <c r="AR89" i="1"/>
  <c r="AP138" i="1"/>
  <c r="AP26" i="1"/>
  <c r="AR52" i="1"/>
  <c r="AQ156" i="1"/>
  <c r="AQ157" i="1"/>
  <c r="AQ158" i="1"/>
  <c r="AR158" i="1" s="1"/>
  <c r="AQ151" i="1"/>
  <c r="AR151" i="1" s="1"/>
  <c r="AQ53" i="1"/>
  <c r="AR32" i="1"/>
  <c r="AQ132" i="1"/>
  <c r="AR132" i="1" s="1"/>
  <c r="AQ180" i="1"/>
  <c r="AR180" i="1" s="1"/>
  <c r="AQ129" i="1"/>
  <c r="AQ147" i="1"/>
  <c r="AR147" i="1" s="1"/>
  <c r="AS49" i="1"/>
  <c r="AR50" i="1"/>
  <c r="AP24" i="1"/>
  <c r="AQ177" i="1"/>
  <c r="AQ46" i="1"/>
  <c r="AR46" i="1" s="1"/>
  <c r="AQ144" i="1"/>
  <c r="AR144" i="1" s="1"/>
  <c r="AQ37" i="1"/>
  <c r="AR37" i="1" s="1"/>
  <c r="AQ86" i="1"/>
  <c r="AR86" i="1" s="1"/>
  <c r="AQ11" i="1"/>
  <c r="AR11" i="1" s="1"/>
  <c r="AQ96" i="1"/>
  <c r="AR96" i="1" s="1"/>
  <c r="AQ43" i="1"/>
  <c r="AR43" i="1" s="1"/>
  <c r="AQ101" i="1"/>
  <c r="AR101" i="1" s="1"/>
  <c r="AQ162" i="1"/>
  <c r="AR162" i="1" s="1"/>
  <c r="AQ60" i="1"/>
  <c r="AR60" i="1" s="1"/>
  <c r="AQ42" i="1"/>
  <c r="AR42" i="1" s="1"/>
  <c r="AQ6" i="1"/>
  <c r="AR6" i="1" s="1"/>
  <c r="AQ88" i="1"/>
  <c r="AR88" i="1" s="1"/>
  <c r="AQ45" i="1"/>
  <c r="AR45" i="1" s="1"/>
  <c r="AQ61" i="1"/>
  <c r="AR61" i="1" s="1"/>
  <c r="AQ94" i="1"/>
  <c r="AR94" i="1" s="1"/>
  <c r="AQ110" i="1"/>
  <c r="AR110" i="1" s="1"/>
  <c r="AQ62" i="1"/>
  <c r="AR62" i="1" s="1"/>
  <c r="AQ72" i="1"/>
  <c r="AR72" i="1" s="1"/>
  <c r="AQ90" i="1"/>
  <c r="AR90" i="1" s="1"/>
  <c r="AQ108" i="1"/>
  <c r="AR108" i="1" s="1"/>
  <c r="AQ59" i="1"/>
  <c r="AR59" i="1" s="1"/>
  <c r="AQ13" i="1"/>
  <c r="AR13" i="1" s="1"/>
  <c r="AQ97" i="1"/>
  <c r="AR97" i="1" s="1"/>
  <c r="AQ160" i="1"/>
  <c r="AR160" i="1" s="1"/>
  <c r="AQ169" i="1"/>
  <c r="AR169" i="1" s="1"/>
  <c r="AQ74" i="1"/>
  <c r="AR74" i="1" s="1"/>
  <c r="AQ182" i="1"/>
  <c r="AR182" i="1" s="1"/>
  <c r="AQ70" i="1"/>
  <c r="AR70" i="1" s="1"/>
  <c r="AK184" i="1"/>
  <c r="AP23" i="1"/>
  <c r="AP153" i="1"/>
  <c r="AS153" i="1" s="1"/>
  <c r="AP149" i="1"/>
  <c r="AP35" i="1"/>
  <c r="AP51" i="1"/>
  <c r="AP12" i="1"/>
  <c r="AP40" i="1"/>
  <c r="AP38" i="1"/>
  <c r="AP27" i="1"/>
  <c r="AR36" i="1"/>
  <c r="AP157" i="1"/>
  <c r="AP158" i="1"/>
  <c r="AP127" i="1"/>
  <c r="AP14" i="1"/>
  <c r="AQ12" i="1"/>
  <c r="AR12" i="1" s="1"/>
  <c r="AQ40" i="1"/>
  <c r="AR40" i="1" s="1"/>
  <c r="AQ38" i="1"/>
  <c r="AR38" i="1" s="1"/>
  <c r="AQ139" i="1"/>
  <c r="AR139" i="1" s="1"/>
  <c r="AQ16" i="1"/>
  <c r="AR16" i="1" s="1"/>
  <c r="AR156" i="1"/>
  <c r="AR157" i="1"/>
  <c r="AR53" i="1"/>
  <c r="AQ14" i="1"/>
  <c r="AR14" i="1" s="1"/>
  <c r="AQ33" i="1"/>
  <c r="AR33" i="1" s="1"/>
  <c r="AQ145" i="1"/>
  <c r="AR145" i="1" s="1"/>
  <c r="AR44" i="1"/>
  <c r="AS127" i="1"/>
  <c r="AQ127" i="1"/>
  <c r="AR127" i="1" s="1"/>
  <c r="AQ7" i="1"/>
  <c r="AR7" i="1" s="1"/>
  <c r="AR129" i="1"/>
  <c r="AP16" i="1"/>
  <c r="AP179" i="1"/>
  <c r="AP29" i="1"/>
  <c r="AS29" i="1" s="1"/>
  <c r="AP4" i="1"/>
  <c r="AS4" i="1" s="1"/>
  <c r="AP33" i="1"/>
  <c r="AP7" i="1"/>
  <c r="AP145" i="1"/>
  <c r="AS145" i="1" s="1"/>
  <c r="AP54" i="1"/>
  <c r="AQ146" i="1"/>
  <c r="AR146" i="1" s="1"/>
  <c r="AQ159" i="1"/>
  <c r="AR159" i="1" s="1"/>
  <c r="AP159" i="1"/>
  <c r="AQ175" i="1"/>
  <c r="AR175" i="1" s="1"/>
  <c r="AP175" i="1"/>
  <c r="AQ21" i="1"/>
  <c r="AR21" i="1" s="1"/>
  <c r="AP21" i="1"/>
  <c r="AP55" i="1"/>
  <c r="AP181" i="1"/>
  <c r="AP70" i="1"/>
  <c r="AQ170" i="1"/>
  <c r="AR170" i="1" s="1"/>
  <c r="AP146" i="1"/>
  <c r="AP160" i="1"/>
  <c r="AP182" i="1"/>
  <c r="AQ172" i="1"/>
  <c r="AR172" i="1" s="1"/>
  <c r="AQ64" i="1"/>
  <c r="AR64" i="1" s="1"/>
  <c r="AQ161" i="1"/>
  <c r="AR161" i="1" s="1"/>
  <c r="AP161" i="1"/>
  <c r="AP59" i="1"/>
  <c r="AS59" i="1" s="1"/>
  <c r="AP97" i="1"/>
  <c r="AQ142" i="1"/>
  <c r="AR142" i="1" s="1"/>
  <c r="AQ71" i="1"/>
  <c r="AR71" i="1" s="1"/>
  <c r="AR112" i="1"/>
  <c r="AS112" i="1"/>
  <c r="AQ141" i="1"/>
  <c r="AR141" i="1" s="1"/>
  <c r="AP79" i="1"/>
  <c r="AR113" i="1"/>
  <c r="AQ18" i="1"/>
  <c r="AR18" i="1" s="1"/>
  <c r="AQ30" i="1"/>
  <c r="AR30" i="1" s="1"/>
  <c r="AQ106" i="1"/>
  <c r="AR106" i="1" s="1"/>
  <c r="AQ15" i="1"/>
  <c r="AR15" i="1" s="1"/>
  <c r="AQ143" i="1"/>
  <c r="AR143" i="1" s="1"/>
  <c r="AR58" i="1"/>
  <c r="AS81" i="1"/>
  <c r="AR81" i="1"/>
  <c r="AQ63" i="1"/>
  <c r="AR63" i="1" s="1"/>
  <c r="AQ165" i="1"/>
  <c r="AR165" i="1" s="1"/>
  <c r="AQ68" i="1"/>
  <c r="AR68" i="1" s="1"/>
  <c r="AQ91" i="1"/>
  <c r="AR91" i="1" s="1"/>
  <c r="AQ66" i="1"/>
  <c r="AR66" i="1" s="1"/>
  <c r="AR87" i="1"/>
  <c r="AQ107" i="1"/>
  <c r="AR107" i="1" s="1"/>
  <c r="AQ95" i="1"/>
  <c r="AR95" i="1" s="1"/>
  <c r="AR121" i="1"/>
  <c r="AS121" i="1"/>
  <c r="AQ65" i="1"/>
  <c r="AR65" i="1" s="1"/>
  <c r="AP13" i="1"/>
  <c r="AP64" i="1"/>
  <c r="AP90" i="1"/>
  <c r="AP115" i="1"/>
  <c r="AP63" i="1"/>
  <c r="AP80" i="1"/>
  <c r="AS82" i="1"/>
  <c r="AP118" i="1"/>
  <c r="AQ57" i="1"/>
  <c r="AR57" i="1" s="1"/>
  <c r="AP18" i="1"/>
  <c r="AP30" i="1"/>
  <c r="AS30" i="1" s="1"/>
  <c r="AP106" i="1"/>
  <c r="AS106" i="1" s="1"/>
  <c r="AP82" i="1"/>
  <c r="AR84" i="1"/>
  <c r="AR85" i="1"/>
  <c r="AQ104" i="1"/>
  <c r="AR104" i="1" s="1"/>
  <c r="AR119" i="1"/>
  <c r="AS119" i="1"/>
  <c r="AQ99" i="1"/>
  <c r="AR99" i="1" s="1"/>
  <c r="AQ176" i="1"/>
  <c r="AR176" i="1" s="1"/>
  <c r="AP110" i="1"/>
  <c r="AP108" i="1"/>
  <c r="AQ67" i="1"/>
  <c r="AR67" i="1" s="1"/>
  <c r="AP67" i="1"/>
  <c r="AP119" i="1"/>
  <c r="AP85" i="1"/>
  <c r="AQ93" i="1"/>
  <c r="AR93" i="1" s="1"/>
  <c r="AP93" i="1"/>
  <c r="AQ98" i="1"/>
  <c r="AR98" i="1" s="1"/>
  <c r="AP98" i="1"/>
  <c r="AS98" i="1" s="1"/>
  <c r="AQ102" i="1"/>
  <c r="AR102" i="1" s="1"/>
  <c r="AP102" i="1"/>
  <c r="AP121" i="1"/>
  <c r="AR123" i="1"/>
  <c r="AQ103" i="1"/>
  <c r="AR103" i="1" s="1"/>
  <c r="AQ73" i="1"/>
  <c r="AR73" i="1" s="1"/>
  <c r="AS122" i="1"/>
  <c r="AR122" i="1"/>
  <c r="AQ39" i="1"/>
  <c r="AR39" i="1" s="1"/>
  <c r="AP84" i="1"/>
  <c r="AP65" i="1"/>
  <c r="AP103" i="1"/>
  <c r="AP45" i="1"/>
  <c r="AP162" i="1"/>
  <c r="AQ100" i="1"/>
  <c r="AR100" i="1" s="1"/>
  <c r="AP83" i="1"/>
  <c r="AP104" i="1"/>
  <c r="AP94" i="1"/>
  <c r="AP61" i="1"/>
  <c r="AS61" i="1" s="1"/>
  <c r="AP120" i="1"/>
  <c r="AP17" i="1"/>
  <c r="AQ17" i="1"/>
  <c r="AR17" i="1" s="1"/>
  <c r="AQ133" i="1"/>
  <c r="AR133" i="1" s="1"/>
  <c r="AQ19" i="1"/>
  <c r="AR19" i="1" s="1"/>
  <c r="AQ75" i="1"/>
  <c r="AR75" i="1" s="1"/>
  <c r="AQ20" i="1"/>
  <c r="AR20" i="1" s="1"/>
  <c r="AQ126" i="1"/>
  <c r="AR126" i="1" s="1"/>
  <c r="AQ109" i="1"/>
  <c r="AR109" i="1" s="1"/>
  <c r="AQ5" i="1"/>
  <c r="AR5" i="1" s="1"/>
  <c r="AP86" i="1"/>
  <c r="AP101" i="1"/>
  <c r="AS101" i="1" s="1"/>
  <c r="AP42" i="1"/>
  <c r="AS42" i="1" s="1"/>
  <c r="AP133" i="1"/>
  <c r="AS133" i="1" s="1"/>
  <c r="AP43" i="1"/>
  <c r="AP96" i="1"/>
  <c r="AP11" i="1"/>
  <c r="AP46" i="1"/>
  <c r="AQ171" i="1"/>
  <c r="AR171" i="1" s="1"/>
  <c r="AP144" i="1"/>
  <c r="AS144" i="1" s="1"/>
  <c r="AQ48" i="1"/>
  <c r="AR48" i="1" s="1"/>
  <c r="AR177" i="1"/>
  <c r="AP171" i="1"/>
  <c r="AP48" i="1"/>
  <c r="AP126" i="1"/>
  <c r="AS149" i="1" l="1"/>
  <c r="AS16" i="1"/>
  <c r="AS138" i="1"/>
  <c r="AS163" i="1"/>
  <c r="AS43" i="1"/>
  <c r="AS175" i="1"/>
  <c r="AS104" i="1"/>
  <c r="AS108" i="1"/>
  <c r="AS96" i="1"/>
  <c r="AS126" i="1"/>
  <c r="AS45" i="1"/>
  <c r="AS110" i="1"/>
  <c r="AS160" i="1"/>
  <c r="AS33" i="1"/>
  <c r="AS12" i="1"/>
  <c r="AS46" i="1"/>
  <c r="AS11" i="1"/>
  <c r="AS162" i="1"/>
  <c r="AS70" i="1"/>
  <c r="AS21" i="1"/>
  <c r="AS159" i="1"/>
  <c r="AS158" i="1"/>
  <c r="AS105" i="1"/>
  <c r="AS90" i="1"/>
  <c r="AS97" i="1"/>
  <c r="AS171" i="1"/>
  <c r="AS94" i="1"/>
  <c r="AS65" i="1"/>
  <c r="AS64" i="1"/>
  <c r="AS146" i="1"/>
  <c r="AS38" i="1"/>
  <c r="AS86" i="1"/>
  <c r="AS182" i="1"/>
  <c r="AS14" i="1"/>
  <c r="AS103" i="1"/>
  <c r="AS18" i="1"/>
  <c r="AS102" i="1"/>
  <c r="AS63" i="1"/>
  <c r="AS13" i="1"/>
  <c r="AS161" i="1"/>
  <c r="AS7" i="1"/>
  <c r="AS179" i="1"/>
  <c r="AS157" i="1"/>
  <c r="AS40" i="1"/>
  <c r="AS174" i="1"/>
  <c r="AS67" i="1"/>
  <c r="AS48" i="1"/>
  <c r="AS17" i="1"/>
  <c r="AS93" i="1"/>
  <c r="AP177" i="1"/>
  <c r="AS177" i="1" s="1"/>
  <c r="AP6" i="1"/>
  <c r="AS6" i="1" s="1"/>
  <c r="AP5" i="1"/>
  <c r="AS5" i="1" s="1"/>
  <c r="AP75" i="1"/>
  <c r="AS75" i="1" s="1"/>
  <c r="AP19" i="1"/>
  <c r="AS19" i="1" s="1"/>
  <c r="AP109" i="1"/>
  <c r="AS109" i="1" s="1"/>
  <c r="AP122" i="1"/>
  <c r="AP88" i="1"/>
  <c r="AS88" i="1" s="1"/>
  <c r="AP95" i="1"/>
  <c r="AS95" i="1" s="1"/>
  <c r="AP81" i="1"/>
  <c r="AP107" i="1"/>
  <c r="AS107" i="1" s="1"/>
  <c r="AP56" i="1"/>
  <c r="AP71" i="1"/>
  <c r="AS71" i="1" s="1"/>
  <c r="AP172" i="1"/>
  <c r="AS172" i="1" s="1"/>
  <c r="AP68" i="1"/>
  <c r="AS68" i="1" s="1"/>
  <c r="AP132" i="1"/>
  <c r="AS132" i="1" s="1"/>
  <c r="AP180" i="1"/>
  <c r="AS180" i="1" s="1"/>
  <c r="AP164" i="1"/>
  <c r="AS164" i="1" s="1"/>
  <c r="AP47" i="1"/>
  <c r="AS47" i="1" s="1"/>
  <c r="AP139" i="1"/>
  <c r="AS139" i="1" s="1"/>
  <c r="AP8" i="1"/>
  <c r="AS8" i="1" s="1"/>
  <c r="AP136" i="1"/>
  <c r="AS136" i="1" s="1"/>
  <c r="AP173" i="1"/>
  <c r="AS173" i="1" s="1"/>
  <c r="P184" i="1"/>
  <c r="P186" i="1"/>
  <c r="AP167" i="1"/>
  <c r="AS167" i="1" s="1"/>
  <c r="AP111" i="1"/>
  <c r="AR184" i="1"/>
  <c r="X184" i="1"/>
  <c r="X186" i="1"/>
  <c r="AH184" i="1"/>
  <c r="L194" i="1"/>
  <c r="AP60" i="1"/>
  <c r="AS60" i="1" s="1"/>
  <c r="AP39" i="1"/>
  <c r="AS39" i="1" s="1"/>
  <c r="AP72" i="1"/>
  <c r="AS72" i="1" s="1"/>
  <c r="AP123" i="1"/>
  <c r="AP92" i="1"/>
  <c r="AS92" i="1" s="1"/>
  <c r="AP116" i="1"/>
  <c r="AP87" i="1"/>
  <c r="AS87" i="1" s="1"/>
  <c r="AP15" i="1"/>
  <c r="AS15" i="1" s="1"/>
  <c r="AP58" i="1"/>
  <c r="AS58" i="1" s="1"/>
  <c r="AP66" i="1"/>
  <c r="AS66" i="1" s="1"/>
  <c r="AP76" i="1"/>
  <c r="AP141" i="1"/>
  <c r="AS141" i="1" s="1"/>
  <c r="AP69" i="1"/>
  <c r="AS69" i="1" s="1"/>
  <c r="AP28" i="1"/>
  <c r="AS28" i="1" s="1"/>
  <c r="AP53" i="1"/>
  <c r="AS53" i="1" s="1"/>
  <c r="AP156" i="1"/>
  <c r="AS156" i="1" s="1"/>
  <c r="AP52" i="1"/>
  <c r="AS52" i="1" s="1"/>
  <c r="AP25" i="1"/>
  <c r="AP9" i="1"/>
  <c r="AS9" i="1" s="1"/>
  <c r="AP22" i="1"/>
  <c r="AS22" i="1" s="1"/>
  <c r="AP32" i="1"/>
  <c r="AS32" i="1" s="1"/>
  <c r="AP44" i="1"/>
  <c r="AS44" i="1" s="1"/>
  <c r="AP150" i="1"/>
  <c r="AS150" i="1" s="1"/>
  <c r="AP31" i="1"/>
  <c r="AS31" i="1" s="1"/>
  <c r="AJ184" i="1"/>
  <c r="T186" i="1"/>
  <c r="T184" i="1"/>
  <c r="AD186" i="1"/>
  <c r="AD184" i="1"/>
  <c r="AP37" i="1"/>
  <c r="AS37" i="1" s="1"/>
  <c r="AP20" i="1"/>
  <c r="AS20" i="1" s="1"/>
  <c r="AP100" i="1"/>
  <c r="AS100" i="1" s="1"/>
  <c r="AP57" i="1"/>
  <c r="AS57" i="1" s="1"/>
  <c r="AP176" i="1"/>
  <c r="AS176" i="1" s="1"/>
  <c r="AP62" i="1"/>
  <c r="AS62" i="1" s="1"/>
  <c r="AP99" i="1"/>
  <c r="AS99" i="1" s="1"/>
  <c r="AP113" i="1"/>
  <c r="AP114" i="1"/>
  <c r="AP91" i="1"/>
  <c r="AS91" i="1" s="1"/>
  <c r="AP112" i="1"/>
  <c r="AP129" i="1"/>
  <c r="AS129" i="1" s="1"/>
  <c r="AP147" i="1"/>
  <c r="AS147" i="1" s="1"/>
  <c r="AP34" i="1"/>
  <c r="AS34" i="1" s="1"/>
  <c r="AP166" i="1"/>
  <c r="AS166" i="1" s="1"/>
  <c r="AP151" i="1"/>
  <c r="AS151" i="1" s="1"/>
  <c r="AP125" i="1"/>
  <c r="AS125" i="1" s="1"/>
  <c r="AP50" i="1"/>
  <c r="AS50" i="1" s="1"/>
  <c r="AP137" i="1"/>
  <c r="AS137" i="1" s="1"/>
  <c r="AG184" i="1"/>
  <c r="Z186" i="1"/>
  <c r="Z184" i="1"/>
  <c r="AP168" i="1"/>
  <c r="AS168" i="1" s="1"/>
  <c r="AP89" i="1"/>
  <c r="AS89" i="1" s="1"/>
  <c r="AF184" i="1"/>
  <c r="AF186" i="1"/>
  <c r="AI184" i="1"/>
  <c r="V186" i="1"/>
  <c r="V184" i="1"/>
  <c r="AP124" i="1"/>
  <c r="AP73" i="1"/>
  <c r="AS73" i="1" s="1"/>
  <c r="AP117" i="1"/>
  <c r="AP77" i="1"/>
  <c r="AP142" i="1"/>
  <c r="AS142" i="1" s="1"/>
  <c r="AP143" i="1"/>
  <c r="AS143" i="1" s="1"/>
  <c r="AP78" i="1"/>
  <c r="AP165" i="1"/>
  <c r="AS165" i="1" s="1"/>
  <c r="AP170" i="1"/>
  <c r="AS170" i="1" s="1"/>
  <c r="AP169" i="1"/>
  <c r="AS169" i="1" s="1"/>
  <c r="AP74" i="1"/>
  <c r="AS74" i="1" s="1"/>
  <c r="AP140" i="1"/>
  <c r="AS140" i="1" s="1"/>
  <c r="AP134" i="1"/>
  <c r="AS134" i="1" s="1"/>
  <c r="AP155" i="1"/>
  <c r="AS155" i="1" s="1"/>
  <c r="AP36" i="1"/>
  <c r="AS36" i="1" s="1"/>
  <c r="AP148" i="1"/>
  <c r="AS148" i="1" s="1"/>
  <c r="AC184" i="1"/>
  <c r="AP49" i="1"/>
  <c r="AP10" i="1"/>
  <c r="AS10" i="1" s="1"/>
  <c r="AP41" i="1"/>
  <c r="AS41" i="1" s="1"/>
  <c r="AP131" i="1"/>
  <c r="AS131" i="1" s="1"/>
  <c r="AP130" i="1"/>
  <c r="AS130" i="1" s="1"/>
  <c r="AB186" i="1"/>
  <c r="AB184" i="1"/>
  <c r="AE184" i="1"/>
  <c r="R184" i="1"/>
  <c r="R186" i="1"/>
  <c r="AN184" i="1" l="1"/>
  <c r="AP152" i="1"/>
  <c r="AS152" i="1" s="1"/>
  <c r="AT185" i="1" l="1"/>
  <c r="AT184" i="1"/>
</calcChain>
</file>

<file path=xl/sharedStrings.xml><?xml version="1.0" encoding="utf-8"?>
<sst xmlns="http://schemas.openxmlformats.org/spreadsheetml/2006/main" count="759" uniqueCount="334">
  <si>
    <t>Daftar Penyantun Aktif &amp; Histori Transfer untuk SY2627 (termasuk nama-nama yang pernah di SY2526)</t>
  </si>
  <si>
    <t>Khusus SY2627</t>
  </si>
  <si>
    <t>No.
Urut</t>
  </si>
  <si>
    <t>Nama Penyantun</t>
  </si>
  <si>
    <t>Nama Pentransfer
di E+Statement</t>
  </si>
  <si>
    <t>ID</t>
  </si>
  <si>
    <t>No. HP</t>
  </si>
  <si>
    <t>Nilai
Komitmen SY2627</t>
  </si>
  <si>
    <t>Pembayaran Santunan</t>
  </si>
  <si>
    <t>Jml.</t>
  </si>
  <si>
    <t>PIC</t>
  </si>
  <si>
    <t>Start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</si>
  <si>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</si>
  <si>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</si>
  <si>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</si>
  <si>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</si>
  <si>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</si>
  <si>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</si>
  <si>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</si>
  <si>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</si>
  <si>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</si>
  <si>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</si>
  <si>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</si>
  <si>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</si>
  <si>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Total
Pembayaran</t>
  </si>
  <si>
    <t>X</t>
  </si>
  <si>
    <t>Bayar</t>
  </si>
  <si>
    <t>Jml. Bln.
Komiten</t>
  </si>
  <si>
    <t>TYD Total
Komitmen</t>
  </si>
  <si>
    <t>Status
(%)</t>
  </si>
  <si>
    <t>AK</t>
  </si>
  <si>
    <t>AS</t>
  </si>
  <si>
    <t>Rp</t>
  </si>
  <si>
    <t>Cecilia Yanti</t>
  </si>
  <si>
    <t>Liliawati Gunawan</t>
  </si>
  <si>
    <t>Jimmy Johan</t>
  </si>
  <si>
    <t>Lanny Goenawi</t>
  </si>
  <si>
    <t>Stefani Berdina</t>
  </si>
  <si>
    <t>Laura Francisca Neneng</t>
  </si>
  <si>
    <t>Leonardus Chrisnantyo</t>
  </si>
  <si>
    <t>Budhy Gautama</t>
  </si>
  <si>
    <t>Stefanus Liandy</t>
  </si>
  <si>
    <t>Jhonny Lawrence</t>
  </si>
  <si>
    <t>Irwin Tanumihardja</t>
  </si>
  <si>
    <t>Fransisca Sunita</t>
  </si>
  <si>
    <t>Sitti Fami</t>
  </si>
  <si>
    <t>Rosalin Riasari</t>
  </si>
  <si>
    <t>Marina Kurniati Suwito</t>
  </si>
  <si>
    <t>Yuliana Rantetoding</t>
  </si>
  <si>
    <t>Ray Hendry</t>
  </si>
  <si>
    <t>Yohanes Soewandi Halim</t>
  </si>
  <si>
    <t>Thomas Eko Wibowo</t>
  </si>
  <si>
    <t>Hadi Widijanta</t>
  </si>
  <si>
    <t>Henny Narwadan</t>
  </si>
  <si>
    <t>Christina Octavia</t>
  </si>
  <si>
    <t>Joyce Emma Sudharta</t>
  </si>
  <si>
    <t>Fonny Mogie</t>
  </si>
  <si>
    <t>Julyana Halim</t>
  </si>
  <si>
    <t>Mardina Dahlan</t>
  </si>
  <si>
    <t>Lusia Dameria M</t>
  </si>
  <si>
    <t>Audrey Jeremialle</t>
  </si>
  <si>
    <t>Meilinda Wijaya</t>
  </si>
  <si>
    <t>Nana Ng</t>
  </si>
  <si>
    <t>Winda Winata</t>
  </si>
  <si>
    <t>Jessica Febriani</t>
  </si>
  <si>
    <t>Vanditya Pratama Niestra</t>
  </si>
  <si>
    <t>Anne Maria Anggraeni</t>
  </si>
  <si>
    <t>Christopher Christian Halimkesuma</t>
  </si>
  <si>
    <t>Patricia Mary Elizabeth</t>
  </si>
  <si>
    <t>Aloysius Adi Pamungkas</t>
  </si>
  <si>
    <t>Williem Cahyadi</t>
  </si>
  <si>
    <t>Lukas Dharmawan Wibowo</t>
  </si>
  <si>
    <t>Afen Jusmani</t>
  </si>
  <si>
    <t>Elisabet Rini Setiowaty</t>
  </si>
  <si>
    <t>Dian Indradi Dra.</t>
  </si>
  <si>
    <t>Indra Juwono Surja</t>
  </si>
  <si>
    <t>Fransiska Lisniawati</t>
  </si>
  <si>
    <t>Erika Natasya</t>
  </si>
  <si>
    <t>Yayasan Dominique Marissa</t>
  </si>
  <si>
    <t>Fransisca Tri Wahyuni</t>
  </si>
  <si>
    <t>Ferry M Butarbutar</t>
  </si>
  <si>
    <t>Marcelina Rufina Siti</t>
  </si>
  <si>
    <t>Monika Juliana Kasih</t>
  </si>
  <si>
    <t>Alfonso</t>
  </si>
  <si>
    <t>Jimmy</t>
  </si>
  <si>
    <t>Theresia Oktra Tias</t>
  </si>
  <si>
    <t>Indra Leonard</t>
  </si>
  <si>
    <t>Iman Santoso</t>
  </si>
  <si>
    <t>Pipin Halim</t>
  </si>
  <si>
    <t>Prastowo Dwi Sundoro</t>
  </si>
  <si>
    <t>Vinsencia Dewi Setyorini</t>
  </si>
  <si>
    <t>Yohanes Seandy Sunjoko</t>
  </si>
  <si>
    <t>Anna Novita Elvira Mamahit</t>
  </si>
  <si>
    <t>Dominika Anny Yanuarti</t>
  </si>
  <si>
    <t>A Nugroho Wahyu Adi</t>
  </si>
  <si>
    <t>Niken Saraswati</t>
  </si>
  <si>
    <t>Angela Meilani Radjagukguk</t>
  </si>
  <si>
    <t>Maria Sylvia Harli</t>
  </si>
  <si>
    <t>Myrna Indriyani Hidayat</t>
  </si>
  <si>
    <t>Irwan Prabawa</t>
  </si>
  <si>
    <t>Theresia Wijaya</t>
  </si>
  <si>
    <t>Agapita Nila Ardiana</t>
  </si>
  <si>
    <t>Peter Alexander Linggawidjaja</t>
  </si>
  <si>
    <t>Patricia Ave Nadia</t>
  </si>
  <si>
    <t>Elita F. Situmorang</t>
  </si>
  <si>
    <t>Liem Ricky Limandibrata</t>
  </si>
  <si>
    <t>Eliani</t>
  </si>
  <si>
    <t>Arvin Ekoputranto</t>
  </si>
  <si>
    <t>Rinda Sari Harun</t>
  </si>
  <si>
    <t>Mareta Widyaningsih</t>
  </si>
  <si>
    <t>Michael Warouw</t>
  </si>
  <si>
    <t>Kathy Salim Lim</t>
  </si>
  <si>
    <t>Andry Hartanto Kurnia</t>
  </si>
  <si>
    <t>Reny Karmel Agustia</t>
  </si>
  <si>
    <t>Kristina Romantika</t>
  </si>
  <si>
    <t>Thomas Franky</t>
  </si>
  <si>
    <t>Pontas Hutagalung</t>
  </si>
  <si>
    <t>Liem Budhi Utomo</t>
  </si>
  <si>
    <t>Franky Supriyadi</t>
  </si>
  <si>
    <t>Elissa</t>
  </si>
  <si>
    <t>Tonny Iskandar Atmadja</t>
  </si>
  <si>
    <t>Heni Purnomo</t>
  </si>
  <si>
    <t>Syeanne Teguh Saputra</t>
  </si>
  <si>
    <t>C. Djoko Setyanto</t>
  </si>
  <si>
    <t>Kamelia Andriani</t>
  </si>
  <si>
    <t>Samuel Sukendro</t>
  </si>
  <si>
    <t>Mathilda Jeane Vid</t>
  </si>
  <si>
    <t>Patricia Tanuwijaya</t>
  </si>
  <si>
    <t>Oky Candra</t>
  </si>
  <si>
    <t>Erwin Sapta</t>
  </si>
  <si>
    <t>Hanny</t>
  </si>
  <si>
    <t>Engelberta Lena</t>
  </si>
  <si>
    <t>Stefanus Ivanly</t>
  </si>
  <si>
    <t>Erine Iskandar</t>
  </si>
  <si>
    <t>Silvia Ordelia</t>
  </si>
  <si>
    <t>Anna Dermawan</t>
  </si>
  <si>
    <t>Vincentius Kevin Aditya</t>
  </si>
  <si>
    <t>Rahayu Damanik</t>
  </si>
  <si>
    <t>Caroline</t>
  </si>
  <si>
    <t>Helena Prisilla Rudi</t>
  </si>
  <si>
    <t>Stephanny</t>
  </si>
  <si>
    <t>Klemens Antony Kiro</t>
  </si>
  <si>
    <t>Markus Heru Susilo</t>
  </si>
  <si>
    <t>Caecilia Novianti</t>
  </si>
  <si>
    <t>Randy Ferrera</t>
  </si>
  <si>
    <t>Sara Gunarso</t>
  </si>
  <si>
    <t>Aldo Jonathan</t>
  </si>
  <si>
    <t>Fang Fang</t>
  </si>
  <si>
    <t>Cynthia Siswandi</t>
  </si>
  <si>
    <t>SB Diah Pudjiastuti</t>
  </si>
  <si>
    <t>Teddy Oktaviano Suherman</t>
  </si>
  <si>
    <t>Reni Setiobudi</t>
  </si>
  <si>
    <t>Christina Natalia</t>
  </si>
  <si>
    <t>Maria Theresia Asti Wulandari</t>
  </si>
  <si>
    <t>Rinda Sari Harun Dkk</t>
  </si>
  <si>
    <t xml:space="preserve">Yohanes Bambang Nugroho </t>
  </si>
  <si>
    <t>Tanty Marisa</t>
  </si>
  <si>
    <t>Alfonsus Andjo</t>
  </si>
  <si>
    <t>Tiffany Ratadhi</t>
  </si>
  <si>
    <t>Edward Jaya Hadi</t>
  </si>
  <si>
    <t>Elyse Olivia Ratadhi</t>
  </si>
  <si>
    <t>Liliani Kangarso Husodo</t>
  </si>
  <si>
    <t>Fransiskus Tanoto</t>
  </si>
  <si>
    <t>Angelina Tirtawinata</t>
  </si>
  <si>
    <t>Wirjanto Yuwono</t>
  </si>
  <si>
    <t>Ivony Yuyu Susanto</t>
  </si>
  <si>
    <t>Reno Roffianto Tjandra</t>
  </si>
  <si>
    <t>Justina Adamanti</t>
  </si>
  <si>
    <t>Lucia Indrawati Latief</t>
  </si>
  <si>
    <t>Cecilia Tities Chandra Lestari</t>
  </si>
  <si>
    <t>Sebastianus Yudhy Pratama</t>
  </si>
  <si>
    <t>Carolina Murdjono</t>
  </si>
  <si>
    <t>Joshua Ratadhi</t>
  </si>
  <si>
    <t>Loanita Gunawan</t>
  </si>
  <si>
    <t>Yenissa Sanantha</t>
  </si>
  <si>
    <t>Maria Angelique</t>
  </si>
  <si>
    <t>Hendra Kurniawan Tunggalano</t>
  </si>
  <si>
    <t>Andri Widiyanto</t>
  </si>
  <si>
    <t>Ignatius Sigit Pratopo</t>
  </si>
  <si>
    <t>Marshella</t>
  </si>
  <si>
    <t>Antonius E S Ranyabar</t>
  </si>
  <si>
    <t>Sharon Tanata</t>
  </si>
  <si>
    <t>Frans Prananto</t>
  </si>
  <si>
    <t>Veria Trijaya</t>
  </si>
  <si>
    <t>Thomas Widjaja</t>
  </si>
  <si>
    <t>Emmanuela Nenny</t>
  </si>
  <si>
    <t>Ahon Danniel Karyadi</t>
  </si>
  <si>
    <t>Sylvia Djatisutikno</t>
  </si>
  <si>
    <t>Rhais Prasetyo</t>
  </si>
  <si>
    <t>Valerianus Joviano Winantea</t>
  </si>
  <si>
    <t>Cindy Kusuma</t>
  </si>
  <si>
    <t>Erik Eneddy</t>
  </si>
  <si>
    <t>Maria Melania</t>
  </si>
  <si>
    <t>Albertus Jayanto</t>
  </si>
  <si>
    <t>Maria Karina Sugiharso</t>
  </si>
  <si>
    <t>Ancilla Cherisha Illinantyas</t>
  </si>
  <si>
    <t>Karin Andini</t>
  </si>
  <si>
    <t>Fransisxus Wibowo Priyo Hatmoko</t>
  </si>
  <si>
    <t>Stella Darmadi</t>
  </si>
  <si>
    <t>Johannes Setiadharma</t>
  </si>
  <si>
    <t>Maria Endang Sumiwi</t>
  </si>
  <si>
    <t>Jack Pontoh</t>
  </si>
  <si>
    <t>Mona Maulina Challim</t>
  </si>
  <si>
    <t>Anna Johannes / Sri Martati</t>
  </si>
  <si>
    <t>Bonarsius Sipayung</t>
  </si>
  <si>
    <t>Bonifatius Budi Sundjaja</t>
  </si>
  <si>
    <t>Teddy Soetjipto</t>
  </si>
  <si>
    <t>Fanny Suwarni D.</t>
  </si>
  <si>
    <t>Viviana Dyah Ayu Retno K</t>
  </si>
  <si>
    <t>Molly Shiony</t>
  </si>
  <si>
    <t>Silvia Andri</t>
  </si>
  <si>
    <t>Paulus Aswin Sani</t>
  </si>
  <si>
    <t>Riki Asrigo</t>
  </si>
  <si>
    <t>SMt-1 Lunas</t>
  </si>
  <si>
    <t>Penyantun baru di sY2627 mulai 34140427</t>
  </si>
  <si>
    <t>SY2627 Lunas</t>
  </si>
  <si>
    <t>Membayar lunas (SMT/THN) di Juni</t>
  </si>
  <si>
    <t>Ayunda =</t>
  </si>
  <si>
    <t>Bambang =</t>
  </si>
  <si>
    <t>David =</t>
  </si>
  <si>
    <t>Indra =</t>
  </si>
  <si>
    <t>Susi =</t>
  </si>
  <si>
    <t>Tony =</t>
  </si>
  <si>
    <t>Bulanan</t>
  </si>
  <si>
    <t>Tony</t>
  </si>
  <si>
    <t>Tahunan</t>
  </si>
  <si>
    <t>Ayunda</t>
  </si>
  <si>
    <t>Laura Francisca Ne</t>
  </si>
  <si>
    <t>Leonardus Chrisnan</t>
  </si>
  <si>
    <t>Stefanus Liandy P</t>
  </si>
  <si>
    <t>Semesteran</t>
  </si>
  <si>
    <t>Susi</t>
  </si>
  <si>
    <t>Tan Jhonny Lawrenc</t>
  </si>
  <si>
    <t>Irwin Tanumiharja</t>
  </si>
  <si>
    <t>Rosalin Riasari Be</t>
  </si>
  <si>
    <t>Marina Kurniati Su</t>
  </si>
  <si>
    <t>Yuliana Rantetodin</t>
  </si>
  <si>
    <t>Indra</t>
  </si>
  <si>
    <t>Ray</t>
  </si>
  <si>
    <t>Bambang</t>
  </si>
  <si>
    <t>Soewandi Halim</t>
  </si>
  <si>
    <t>Triwulanan</t>
  </si>
  <si>
    <t>Eko Wibowo Sutanto</t>
  </si>
  <si>
    <t>Maria Thg Narwadan</t>
  </si>
  <si>
    <t>Ny Joyce Emma Sudh</t>
  </si>
  <si>
    <t>Dr Lusia Dameria M</t>
  </si>
  <si>
    <t>Patricia Audrey Je</t>
  </si>
  <si>
    <t>Meilinda Wijaya Dr</t>
  </si>
  <si>
    <t>Ng Na Na</t>
  </si>
  <si>
    <t>Winda Winata Dra</t>
  </si>
  <si>
    <t>Lita Prajogi</t>
  </si>
  <si>
    <t>Yudas Tadeus Go Wi</t>
  </si>
  <si>
    <t>Christopher Christian Halimkesu</t>
  </si>
  <si>
    <t>Aloysius Adi Pamun</t>
  </si>
  <si>
    <t>Lukas Dharmawan Wi</t>
  </si>
  <si>
    <t>Jusmani</t>
  </si>
  <si>
    <t>Elisabet Rini Seti</t>
  </si>
  <si>
    <t>Dian Indradi Dra</t>
  </si>
  <si>
    <t>Ruddy Halim</t>
  </si>
  <si>
    <t>David</t>
  </si>
  <si>
    <t>Yay Dominique Mari</t>
  </si>
  <si>
    <t>Fransisca Tri Wahy</t>
  </si>
  <si>
    <t>Ferry Marcos Butar</t>
  </si>
  <si>
    <t>Siti</t>
  </si>
  <si>
    <t>Juliana Kasih</t>
  </si>
  <si>
    <t>Winarni Iskandar I</t>
  </si>
  <si>
    <t>Theresia Oktra Tia</t>
  </si>
  <si>
    <t>Dua Bulanan</t>
  </si>
  <si>
    <t>Prastowo Dwi Sundo</t>
  </si>
  <si>
    <t>Vinsencia Dewi Set</t>
  </si>
  <si>
    <t>Yohanes Seandy Sun</t>
  </si>
  <si>
    <t>Anna Novita Elvira</t>
  </si>
  <si>
    <t>Dominika Anny Yanu</t>
  </si>
  <si>
    <t>A Nugroho Wahyu Ad</t>
  </si>
  <si>
    <t>Angela Meilani Rad</t>
  </si>
  <si>
    <t>Myrna Indriyani Hi</t>
  </si>
  <si>
    <t>Agapita Nila Ardia</t>
  </si>
  <si>
    <t>Peter Alexander li</t>
  </si>
  <si>
    <t>Elita Fransiska Si</t>
  </si>
  <si>
    <t>Liem Ricky Limandi</t>
  </si>
  <si>
    <t>Mareta Widyaningsi</t>
  </si>
  <si>
    <t>Veronika Annastasi</t>
  </si>
  <si>
    <t>Reny Karmel Agusti</t>
  </si>
  <si>
    <t>Franky</t>
  </si>
  <si>
    <t>P o n t a s</t>
  </si>
  <si>
    <t>Tonny Iskandar Atm</t>
  </si>
  <si>
    <t>Heni</t>
  </si>
  <si>
    <t>Syeanne Teguh Sapu</t>
  </si>
  <si>
    <t>C Djoko Setyanto</t>
  </si>
  <si>
    <t>Sukendro</t>
  </si>
  <si>
    <t>Patricia Tanuwijay</t>
  </si>
  <si>
    <t>Lena</t>
  </si>
  <si>
    <t>Vincentius Kevin</t>
  </si>
  <si>
    <t>Helena Prisilla</t>
  </si>
  <si>
    <t>Klemens Antony</t>
  </si>
  <si>
    <t>Markus Heru S</t>
  </si>
  <si>
    <t>Sara Dewi Gunarso</t>
  </si>
  <si>
    <t>Diah Pudjiastuti</t>
  </si>
  <si>
    <t>Teddy Oktaviano</t>
  </si>
  <si>
    <t>Maria Theresia</t>
  </si>
  <si>
    <t>Rinda Dkk</t>
  </si>
  <si>
    <t>Y Bambang Nugroho</t>
  </si>
  <si>
    <t>Olivia Ratadhi</t>
  </si>
  <si>
    <t>Liliani Kangarso H</t>
  </si>
  <si>
    <t>Angelina Tirtawina</t>
  </si>
  <si>
    <t>Reno Roffianto Tja</t>
  </si>
  <si>
    <t>Lucia Indrawati La</t>
  </si>
  <si>
    <t>Andy Susanto</t>
  </si>
  <si>
    <t>Sebastianus Yudhy</t>
  </si>
  <si>
    <t>Joshua Ratadhi Mul</t>
  </si>
  <si>
    <t>Phan Yenissa Sanan</t>
  </si>
  <si>
    <t>Maria Angelique Ha</t>
  </si>
  <si>
    <t>Hendra Kurniawan T</t>
  </si>
  <si>
    <t>Ignatius Sigit Pra</t>
  </si>
  <si>
    <t>Antonius Eko Sapta</t>
  </si>
  <si>
    <t>Emmanuela Nenny S</t>
  </si>
  <si>
    <t>Ahon Danniel Karya</t>
  </si>
  <si>
    <t>Sylvia Maria D</t>
  </si>
  <si>
    <t>Valerianus Joviano</t>
  </si>
  <si>
    <t>Maria Melania Tri</t>
  </si>
  <si>
    <t>Albertus Magnus Cu</t>
  </si>
  <si>
    <t>Maria Karina Sugih</t>
  </si>
  <si>
    <t>Ancilla Cherisha I</t>
  </si>
  <si>
    <t>Fransisxus Wibowo</t>
  </si>
  <si>
    <t>Johannes Setiadhar</t>
  </si>
  <si>
    <t>Maria Endang Sumiw</t>
  </si>
  <si>
    <t>Mona</t>
  </si>
  <si>
    <t>Sri Martati</t>
  </si>
  <si>
    <t>Bonifatius Budi Su</t>
  </si>
  <si>
    <t>Teddy Soetjipto S</t>
  </si>
  <si>
    <t>Fanny Suwarni Darm</t>
  </si>
  <si>
    <t>V Dyah Ayu Retno K</t>
  </si>
  <si>
    <t>No. Rek.
VA BCA</t>
  </si>
  <si>
    <t>Mayaswari Handoyo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</si>
</sst>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9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0.249977111117893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7" fontId="0" fillId="0" borderId="0" xfId="0" applyNumberFormat="1"/>
    <xf numFmtId="41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0" fontId="3" fillId="8" borderId="1" xfId="0" applyFont="1" applyFill="1" applyBorder="1" applyAlignment="1">
      <alignment horizontal="center"/>
    </xf>
    <xf numFmtId="41" fontId="6" fillId="0" borderId="2" xfId="1" applyFont="1" applyBorder="1" applyAlignment="1">
      <alignment horizontal="left" vertical="center"/>
    </xf>
    <xf numFmtId="1" fontId="6" fillId="0" borderId="2" xfId="1" applyNumberFormat="1" applyFont="1" applyBorder="1" applyAlignment="1">
      <alignment horizontal="left" vertical="center"/>
    </xf>
    <xf numFmtId="1" fontId="6" fillId="0" borderId="2" xfId="1" applyNumberFormat="1" applyFont="1" applyBorder="1" applyAlignment="1">
      <alignment horizontal="right" vertical="center"/>
    </xf>
    <xf numFmtId="41" fontId="6" fillId="0" borderId="2" xfId="1" applyFont="1" applyFill="1" applyBorder="1" applyAlignment="1">
      <alignment horizontal="left" vertical="center"/>
    </xf>
    <xf numFmtId="17" fontId="0" fillId="0" borderId="2" xfId="0" applyNumberFormat="1" applyBorder="1"/>
    <xf numFmtId="41" fontId="0" fillId="0" borderId="2" xfId="1" applyFont="1" applyFill="1" applyBorder="1" applyAlignment="1">
      <alignment vertical="center"/>
    </xf>
    <xf numFmtId="9" fontId="6" fillId="0" borderId="2" xfId="2" applyFont="1" applyBorder="1" applyAlignment="1">
      <alignment vertical="center"/>
    </xf>
    <xf numFmtId="41" fontId="0" fillId="0" borderId="0" xfId="1" applyFont="1"/>
    <xf numFmtId="0" fontId="4" fillId="9" borderId="0" xfId="0" applyFont="1" applyFill="1"/>
    <xf numFmtId="41" fontId="4" fillId="9" borderId="0" xfId="1" applyFont="1" applyFill="1"/>
    <xf numFmtId="0" fontId="4" fillId="10" borderId="0" xfId="0" applyFont="1" applyFill="1"/>
    <xf numFmtId="41" fontId="4" fillId="10" borderId="0" xfId="1" applyFont="1" applyFill="1"/>
    <xf numFmtId="0" fontId="3" fillId="8" borderId="0" xfId="0" applyFont="1" applyFill="1"/>
    <xf numFmtId="0" fontId="4" fillId="11" borderId="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4" xfId="0" applyFont="1" applyFill="1" applyBorder="1"/>
    <xf numFmtId="0" fontId="4" fillId="11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6E90-CFFD-4623-A909-C4EF69684FC7}">
  <dimension ref="A1:AT194"/>
  <sheetViews>
    <sheetView tabSelected="1" topLeftCell="A28" workbookViewId="0">
      <selection activeCell="O191" sqref="O191"/>
    </sheetView>
  </sheetViews>
  <sheetFormatPr defaultRowHeight="12.75" x14ac:dyDescent="0.2"/>
  <cols>
    <col min="1" max="1" width="2.7109375" customWidth="1"/>
    <col min="2" max="2" width="5.140625" bestFit="1" customWidth="1"/>
    <col min="3" max="3" width="30.5703125" bestFit="1" customWidth="1"/>
    <col min="4" max="4" width="28" hidden="1" customWidth="1"/>
    <col min="5" max="5" width="7.85546875" bestFit="1" customWidth="1"/>
    <col min="6" max="6" width="10.42578125" bestFit="1" customWidth="1"/>
    <col min="7" max="7" width="11.28515625" bestFit="1" customWidth="1"/>
    <col min="8" max="8" width="11" bestFit="1" customWidth="1"/>
    <col min="9" max="9" width="11" customWidth="1"/>
    <col min="10" max="10" width="4" bestFit="1" customWidth="1"/>
    <col min="11" max="11" width="4.140625" customWidth="1"/>
    <col min="12" max="12" width="9.42578125" bestFit="1" customWidth="1"/>
    <col min="13" max="13" width="6.42578125" bestFit="1" customWidth="1"/>
    <col min="14" max="14" width="11" bestFit="1" customWidth="1"/>
    <col min="15" max="15" width="3" bestFit="1" customWidth="1"/>
    <col min="16" max="16" width="12" bestFit="1" customWidth="1"/>
    <col min="17" max="17" width="3.140625" bestFit="1" customWidth="1"/>
    <col min="18" max="18" width="12" bestFit="1" customWidth="1"/>
    <col min="19" max="19" width="3" bestFit="1" customWidth="1"/>
    <col min="20" max="20" width="11" bestFit="1" customWidth="1"/>
    <col min="21" max="21" width="3" bestFit="1" customWidth="1"/>
    <col min="22" max="22" width="3" customWidth="1"/>
    <col min="23" max="23" width="2.7109375" bestFit="1" customWidth="1"/>
    <col min="24" max="24" width="3" hidden="1" customWidth="1"/>
    <col min="25" max="25" width="2" hidden="1" customWidth="1"/>
    <col min="26" max="26" width="3" hidden="1" customWidth="1"/>
    <col min="27" max="27" width="2" hidden="1" customWidth="1"/>
    <col min="28" max="28" width="3" hidden="1" customWidth="1"/>
    <col min="29" max="29" width="2" hidden="1" customWidth="1"/>
    <col min="30" max="30" width="3" hidden="1" customWidth="1"/>
    <col min="31" max="31" width="2" hidden="1" customWidth="1"/>
    <col min="32" max="32" width="3" hidden="1" customWidth="1"/>
    <col min="33" max="33" width="2" hidden="1" customWidth="1"/>
    <col min="34" max="34" width="3" hidden="1" customWidth="1"/>
    <col min="35" max="35" width="2" hidden="1" customWidth="1"/>
    <col min="36" max="36" width="3" hidden="1" customWidth="1"/>
    <col min="37" max="37" width="2" hidden="1" customWidth="1"/>
    <col min="38" max="38" width="3" hidden="1" customWidth="1"/>
    <col min="39" max="39" width="2.7109375" hidden="1" customWidth="1"/>
    <col min="40" max="40" width="12" bestFit="1" customWidth="1"/>
    <col min="41" max="41" width="3.140625" bestFit="1" customWidth="1"/>
    <col min="42" max="42" width="11" hidden="1" customWidth="1"/>
    <col min="43" max="43" width="7.7109375" hidden="1" customWidth="1"/>
    <col min="44" max="44" width="12" hidden="1" customWidth="1"/>
    <col min="45" max="45" width="11.7109375" bestFit="1" customWidth="1"/>
    <col min="46" max="46" width="4.140625" bestFit="1" customWidth="1"/>
    <col min="47" max="47" width="6.42578125" customWidth="1"/>
  </cols>
  <sheetData>
    <row r="1" spans="2:45" ht="15" customHeight="1" x14ac:dyDescent="0.25">
      <c r="B1" s="11" t="s">
        <v>0</v>
      </c>
      <c r="N1" s="12" t="s">
        <v>1</v>
      </c>
      <c r="O1" s="12"/>
      <c r="AS1" s="1">
        <f ca="1">NOW()</f>
        <v>46282.92074710648</v>
      </c>
    </row>
    <row r="2" spans="2:45" ht="20.100000000000001" customHeight="1" x14ac:dyDescent="0.2">
      <c r="B2" s="26" t="s">
        <v>2</v>
      </c>
      <c r="C2" s="27" t="s">
        <v>3</v>
      </c>
      <c r="D2" s="28" t="s">
        <v>4</v>
      </c>
      <c r="E2" s="29" t="s">
        <v>5</v>
      </c>
      <c r="F2" s="29" t="s">
        <v>332</v>
      </c>
      <c r="G2" s="29" t="s">
        <v>6</v>
      </c>
      <c r="H2" s="28" t="s">
        <v>7</v>
      </c>
      <c r="I2" s="29" t="s">
        <v>8</v>
      </c>
      <c r="J2" s="30" t="s">
        <v>9</v>
      </c>
      <c r="K2" s="31"/>
      <c r="L2" s="32" t="s">
        <v>10</v>
      </c>
      <c r="M2" s="26" t="s">
        <v>11</v>
      </c>
      <c r="N2" s="32" t="s">
        <v>12</v>
      </c>
      <c r="O2" s="32"/>
      <c r="P2" s="32" t="s">
        <v>13</v>
      </c>
      <c r="Q2" s="32"/>
      <c r="R2" s="32" t="s">
        <v>14</v>
      </c>
      <c r="S2" s="32"/>
      <c r="T2" s="32" t="s">
        <v>15</v>
      </c>
      <c r="U2" s="32"/>
      <c r="V2" s="32" t="s">
        <v>16</v>
      </c>
      <c r="W2" s="32"/>
      <c r="X2" s="32" t="s">
        <v>17</v>
      </c>
      <c r="Y2" s="32"/>
      <c r="Z2" s="32" t="s">
        <v>18</v>
      </c>
      <c r="AA2" s="32"/>
      <c r="AB2" s="32" t="s">
        <v>19</v>
      </c>
      <c r="AC2" s="32"/>
      <c r="AD2" s="32" t="s">
        <v>20</v>
      </c>
      <c r="AE2" s="32"/>
      <c r="AF2" s="32" t="s">
        <v>21</v>
      </c>
      <c r="AG2" s="32"/>
      <c r="AH2" s="32" t="s">
        <v>22</v>
      </c>
      <c r="AI2" s="32"/>
      <c r="AJ2" s="32" t="s">
        <v>23</v>
      </c>
      <c r="AK2" s="32"/>
      <c r="AL2" s="32" t="s">
        <v>12</v>
      </c>
      <c r="AM2" s="32"/>
      <c r="AN2" s="29" t="s">
        <v>24</v>
      </c>
      <c r="AO2" s="33" t="s">
        <v>25</v>
      </c>
      <c r="AP2" s="29" t="s">
        <v>26</v>
      </c>
      <c r="AQ2" s="29" t="s">
        <v>27</v>
      </c>
      <c r="AR2" s="29" t="s">
        <v>28</v>
      </c>
      <c r="AS2" s="29" t="s">
        <v>29</v>
      </c>
    </row>
    <row r="3" spans="2:45" ht="20.100000000000001" customHeight="1" x14ac:dyDescent="0.2">
      <c r="B3" s="34"/>
      <c r="C3" s="27"/>
      <c r="D3" s="32"/>
      <c r="E3" s="35"/>
      <c r="F3" s="35"/>
      <c r="G3" s="35"/>
      <c r="H3" s="32"/>
      <c r="I3" s="35"/>
      <c r="J3" s="36" t="s">
        <v>30</v>
      </c>
      <c r="K3" s="36" t="s">
        <v>31</v>
      </c>
      <c r="L3" s="32"/>
      <c r="M3" s="34"/>
      <c r="N3" s="36" t="s">
        <v>32</v>
      </c>
      <c r="O3" s="36" t="s">
        <v>25</v>
      </c>
      <c r="P3" s="36" t="s">
        <v>32</v>
      </c>
      <c r="Q3" s="36" t="s">
        <v>25</v>
      </c>
      <c r="R3" s="36" t="s">
        <v>32</v>
      </c>
      <c r="S3" s="36" t="s">
        <v>25</v>
      </c>
      <c r="T3" s="36" t="s">
        <v>32</v>
      </c>
      <c r="U3" s="36" t="s">
        <v>25</v>
      </c>
      <c r="V3" s="36" t="s">
        <v>32</v>
      </c>
      <c r="W3" s="36" t="s">
        <v>25</v>
      </c>
      <c r="X3" s="36" t="s">
        <v>32</v>
      </c>
      <c r="Y3" s="36" t="s">
        <v>25</v>
      </c>
      <c r="Z3" s="36" t="s">
        <v>32</v>
      </c>
      <c r="AA3" s="36" t="s">
        <v>25</v>
      </c>
      <c r="AB3" s="36" t="s">
        <v>32</v>
      </c>
      <c r="AC3" s="36" t="s">
        <v>25</v>
      </c>
      <c r="AD3" s="36" t="s">
        <v>32</v>
      </c>
      <c r="AE3" s="36" t="s">
        <v>25</v>
      </c>
      <c r="AF3" s="36" t="s">
        <v>32</v>
      </c>
      <c r="AG3" s="36" t="s">
        <v>25</v>
      </c>
      <c r="AH3" s="36" t="s">
        <v>32</v>
      </c>
      <c r="AI3" s="36" t="s">
        <v>25</v>
      </c>
      <c r="AJ3" s="36" t="s">
        <v>32</v>
      </c>
      <c r="AK3" s="36" t="s">
        <v>25</v>
      </c>
      <c r="AL3" s="36" t="s">
        <v>32</v>
      </c>
      <c r="AM3" s="36" t="s">
        <v>25</v>
      </c>
      <c r="AN3" s="35"/>
      <c r="AO3" s="37"/>
      <c r="AP3" s="35"/>
      <c r="AQ3" s="35"/>
      <c r="AR3" s="35"/>
      <c r="AS3" s="35"/>
    </row>
    <row r="4" spans="2:45" ht="15" customHeight="1" x14ac:dyDescent="0.2">
      <c r="B4" s="13">
        <v>65</v>
      </c>
      <c r="C4" s="13" t="s">
        <v>76</v>
      </c>
      <c r="D4" s="13" t="s">
        <v>258</v>
      </c>
      <c r="E4" s="14">
        <v>34140184</v>
      </c>
      <c r="F4" s="15">
        <v>68605854615</v>
      </c>
      <c r="G4" s="15">
        <v>8161854615</v>
      </c>
      <c r="H4" s="16">
        <v>750000</v>
      </c>
      <c r="I4" s="16" t="s">
        <v>225</v>
      </c>
      <c r="J4" s="16">
        <v>0</v>
      </c>
      <c r="K4" s="16">
        <v>3</v>
      </c>
      <c r="L4" s="13" t="s">
        <v>226</v>
      </c>
      <c r="M4" s="17">
        <v>46204</v>
      </c>
      <c r="N4" s="16"/>
      <c r="O4" s="16"/>
      <c r="P4" s="16">
        <v>9000000</v>
      </c>
      <c r="Q4" s="16">
        <v>1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8">
        <v>9000000</v>
      </c>
      <c r="AO4" s="18">
        <v>1</v>
      </c>
      <c r="AP4" s="18">
        <f>ROUNDDOWN(AN4,-3)</f>
        <v>9000000</v>
      </c>
      <c r="AQ4" s="18">
        <f ca="1">DATEDIF(M4,AS$1, "m")+1</f>
        <v>3</v>
      </c>
      <c r="AR4" s="18">
        <f ca="1">+H4*AQ4</f>
        <v>2250000</v>
      </c>
      <c r="AS4" s="19" t="str">
        <f>IF(H4=0,0,IF(AP4=(H4*6),"Smt-1 Lunas",IF(AP4=(H4*12),"SY2627 Lunas",AP4/AR4)))</f>
        <v>SY2627 Lunas</v>
      </c>
    </row>
    <row r="5" spans="2:45" ht="15" customHeight="1" x14ac:dyDescent="0.2">
      <c r="B5" s="13">
        <v>172</v>
      </c>
      <c r="C5" s="13" t="s">
        <v>152</v>
      </c>
      <c r="D5" s="13" t="s">
        <v>152</v>
      </c>
      <c r="E5" s="14">
        <v>34140446</v>
      </c>
      <c r="F5" s="15">
        <v>68605056387</v>
      </c>
      <c r="G5" s="15">
        <v>81298056387</v>
      </c>
      <c r="H5" s="16">
        <v>1000000</v>
      </c>
      <c r="I5" s="16" t="s">
        <v>230</v>
      </c>
      <c r="J5" s="16">
        <v>1</v>
      </c>
      <c r="K5" s="16">
        <v>2</v>
      </c>
      <c r="L5" s="13" t="s">
        <v>226</v>
      </c>
      <c r="M5" s="17">
        <v>46174</v>
      </c>
      <c r="N5" s="16">
        <v>6000000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8">
        <v>6000000</v>
      </c>
      <c r="AO5" s="18">
        <v>1</v>
      </c>
      <c r="AP5" s="18">
        <f>ROUNDDOWN(AN5,-3)</f>
        <v>6000000</v>
      </c>
      <c r="AQ5" s="18">
        <f ca="1">DATEDIF(M5,AS$1, "m")+1</f>
        <v>4</v>
      </c>
      <c r="AR5" s="18">
        <f ca="1">+H5*AQ5</f>
        <v>4000000</v>
      </c>
      <c r="AS5" s="19" t="str">
        <f>IF(H5=0,0,IF(AP5=(H5*6),"Smt-1 Lunas",IF(AP5=(H5*12),"SY2627 Lunas",AP5/AR5)))</f>
        <v>Smt-1 Lunas</v>
      </c>
    </row>
    <row r="6" spans="2:45" ht="15" customHeight="1" x14ac:dyDescent="0.2">
      <c r="B6" s="13">
        <v>162</v>
      </c>
      <c r="C6" s="13" t="s">
        <v>142</v>
      </c>
      <c r="D6" s="13" t="s">
        <v>295</v>
      </c>
      <c r="E6" s="14">
        <v>34140436</v>
      </c>
      <c r="F6" s="15">
        <v>68605207004</v>
      </c>
      <c r="G6" s="15">
        <v>81220207004</v>
      </c>
      <c r="H6" s="16">
        <v>1000000</v>
      </c>
      <c r="I6" s="16" t="s">
        <v>223</v>
      </c>
      <c r="J6" s="16">
        <v>2</v>
      </c>
      <c r="K6" s="16">
        <v>0</v>
      </c>
      <c r="L6" s="13" t="s">
        <v>226</v>
      </c>
      <c r="M6" s="17">
        <v>46174</v>
      </c>
      <c r="N6" s="16">
        <v>1000000</v>
      </c>
      <c r="O6" s="16">
        <v>1</v>
      </c>
      <c r="P6" s="16">
        <v>1000000</v>
      </c>
      <c r="Q6" s="16">
        <v>1</v>
      </c>
      <c r="R6" s="16">
        <v>1000000</v>
      </c>
      <c r="S6" s="16">
        <v>1</v>
      </c>
      <c r="T6" s="16">
        <v>1000000</v>
      </c>
      <c r="U6" s="16">
        <v>1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8">
        <v>4000000</v>
      </c>
      <c r="AO6" s="18">
        <v>4</v>
      </c>
      <c r="AP6" s="18">
        <f>ROUNDDOWN(AN6,-3)</f>
        <v>4000000</v>
      </c>
      <c r="AQ6" s="18">
        <f ca="1">DATEDIF(M6,AS$1, "m")+1</f>
        <v>4</v>
      </c>
      <c r="AR6" s="18">
        <f ca="1">+H6*AQ6</f>
        <v>4000000</v>
      </c>
      <c r="AS6" s="19">
        <f ca="1">IF(H6=0,0,IF(AP6=(H6*6),"Smt-1 Lunas",IF(AP6=(H6*12),"SY2627 Lunas",AP6/AR6)))</f>
        <v>1</v>
      </c>
    </row>
    <row r="7" spans="2:45" ht="15" customHeight="1" x14ac:dyDescent="0.2">
      <c r="B7" s="13">
        <v>68</v>
      </c>
      <c r="C7" s="13" t="s">
        <v>79</v>
      </c>
      <c r="D7" s="13" t="s">
        <v>261</v>
      </c>
      <c r="E7" s="14">
        <v>34140189</v>
      </c>
      <c r="F7" s="15">
        <v>68605884234</v>
      </c>
      <c r="G7" s="15">
        <v>8123884234</v>
      </c>
      <c r="H7" s="16">
        <v>250000</v>
      </c>
      <c r="I7" s="16" t="s">
        <v>223</v>
      </c>
      <c r="J7" s="16">
        <v>0</v>
      </c>
      <c r="K7" s="16">
        <v>1</v>
      </c>
      <c r="L7" s="13" t="s">
        <v>226</v>
      </c>
      <c r="M7" s="17">
        <v>46204</v>
      </c>
      <c r="N7" s="16"/>
      <c r="O7" s="16"/>
      <c r="P7" s="16">
        <v>500000</v>
      </c>
      <c r="Q7" s="16">
        <v>1</v>
      </c>
      <c r="R7" s="16">
        <v>0</v>
      </c>
      <c r="S7" s="16">
        <v>0</v>
      </c>
      <c r="T7" s="16">
        <v>3000000</v>
      </c>
      <c r="U7" s="16">
        <v>1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8">
        <v>3500000</v>
      </c>
      <c r="AO7" s="18">
        <v>2</v>
      </c>
      <c r="AP7" s="18">
        <f>ROUNDDOWN(AN7,-3)</f>
        <v>3500000</v>
      </c>
      <c r="AQ7" s="18">
        <f ca="1">DATEDIF(M7,AS$1, "m")+1</f>
        <v>3</v>
      </c>
      <c r="AR7" s="18">
        <f ca="1">+H7*AQ7</f>
        <v>750000</v>
      </c>
      <c r="AS7" s="19">
        <f ca="1">IF(H7=0,0,IF(AP7=(H7*6),"Smt-1 Lunas",IF(AP7=(H7*12),"SY2627 Lunas",AP7/AR7)))</f>
        <v>4.666666666666667</v>
      </c>
    </row>
    <row r="8" spans="2:45" ht="15" customHeight="1" x14ac:dyDescent="0.2">
      <c r="B8" s="13">
        <v>15</v>
      </c>
      <c r="C8" s="13" t="s">
        <v>163</v>
      </c>
      <c r="D8" s="13" t="s">
        <v>304</v>
      </c>
      <c r="E8" s="14">
        <v>34140051</v>
      </c>
      <c r="F8" s="15">
        <v>68605421275</v>
      </c>
      <c r="G8" s="15">
        <v>8161421275</v>
      </c>
      <c r="H8" s="16">
        <v>250000</v>
      </c>
      <c r="I8" s="16" t="s">
        <v>225</v>
      </c>
      <c r="J8" s="16">
        <v>0</v>
      </c>
      <c r="K8" s="16">
        <v>1</v>
      </c>
      <c r="L8" s="13" t="s">
        <v>226</v>
      </c>
      <c r="M8" s="17">
        <v>46204</v>
      </c>
      <c r="N8" s="16"/>
      <c r="O8" s="16"/>
      <c r="P8" s="16">
        <v>0</v>
      </c>
      <c r="Q8" s="16">
        <v>0</v>
      </c>
      <c r="R8" s="16">
        <v>0</v>
      </c>
      <c r="S8" s="16">
        <v>0</v>
      </c>
      <c r="T8" s="16">
        <v>3000000</v>
      </c>
      <c r="U8" s="16">
        <v>1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8">
        <v>3000000</v>
      </c>
      <c r="AO8" s="18">
        <v>1</v>
      </c>
      <c r="AP8" s="18">
        <f>ROUNDDOWN(AN8,-3)</f>
        <v>3000000</v>
      </c>
      <c r="AQ8" s="18"/>
      <c r="AR8" s="18">
        <f>+H8*AQ8</f>
        <v>0</v>
      </c>
      <c r="AS8" s="19" t="str">
        <f>IF(H8=0,0,IF(AP8=(H8*6),"Smt-1 Lunas",IF(AP8=(H8*12),"SY2627 Lunas",AP8/AR8)))</f>
        <v>SY2627 Lunas</v>
      </c>
    </row>
    <row r="9" spans="2:45" ht="15" customHeight="1" x14ac:dyDescent="0.2">
      <c r="B9" s="13">
        <v>19</v>
      </c>
      <c r="C9" s="13" t="s">
        <v>164</v>
      </c>
      <c r="D9" s="13" t="s">
        <v>164</v>
      </c>
      <c r="E9" s="14">
        <v>34140067</v>
      </c>
      <c r="F9" s="15">
        <v>68605128000</v>
      </c>
      <c r="G9" s="15">
        <v>817128000</v>
      </c>
      <c r="H9" s="16">
        <v>250000</v>
      </c>
      <c r="I9" s="16" t="s">
        <v>225</v>
      </c>
      <c r="J9" s="16">
        <v>0</v>
      </c>
      <c r="K9" s="16">
        <v>1</v>
      </c>
      <c r="L9" s="13" t="s">
        <v>226</v>
      </c>
      <c r="M9" s="17">
        <v>46204</v>
      </c>
      <c r="N9" s="16"/>
      <c r="O9" s="16"/>
      <c r="P9" s="16">
        <v>0</v>
      </c>
      <c r="Q9" s="16">
        <v>0</v>
      </c>
      <c r="R9" s="16">
        <v>0</v>
      </c>
      <c r="S9" s="16">
        <v>0</v>
      </c>
      <c r="T9" s="16">
        <v>3000000</v>
      </c>
      <c r="U9" s="16">
        <v>1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8">
        <v>3000000</v>
      </c>
      <c r="AO9" s="18">
        <v>1</v>
      </c>
      <c r="AP9" s="18">
        <f>ROUNDDOWN(AN9,-3)</f>
        <v>3000000</v>
      </c>
      <c r="AQ9" s="18"/>
      <c r="AR9" s="18">
        <f>+H9*AQ9</f>
        <v>0</v>
      </c>
      <c r="AS9" s="19" t="str">
        <f>IF(H9=0,0,IF(AP9=(H9*6),"Smt-1 Lunas",IF(AP9=(H9*12),"SY2627 Lunas",AP9/AR9)))</f>
        <v>SY2627 Lunas</v>
      </c>
    </row>
    <row r="10" spans="2:45" ht="15" customHeight="1" x14ac:dyDescent="0.2">
      <c r="B10" s="13">
        <v>33</v>
      </c>
      <c r="C10" s="13" t="s">
        <v>166</v>
      </c>
      <c r="D10" s="13" t="s">
        <v>305</v>
      </c>
      <c r="E10" s="14">
        <v>34140108</v>
      </c>
      <c r="F10" s="15">
        <v>68605368899</v>
      </c>
      <c r="G10" s="15">
        <v>82112368899</v>
      </c>
      <c r="H10" s="16">
        <v>250000</v>
      </c>
      <c r="I10" s="16" t="s">
        <v>225</v>
      </c>
      <c r="J10" s="16">
        <v>0</v>
      </c>
      <c r="K10" s="16">
        <v>1</v>
      </c>
      <c r="L10" s="13" t="s">
        <v>226</v>
      </c>
      <c r="M10" s="17">
        <v>46204</v>
      </c>
      <c r="N10" s="16"/>
      <c r="O10" s="16"/>
      <c r="P10" s="16">
        <v>0</v>
      </c>
      <c r="Q10" s="16">
        <v>0</v>
      </c>
      <c r="R10" s="16">
        <v>0</v>
      </c>
      <c r="S10" s="16">
        <v>0</v>
      </c>
      <c r="T10" s="16">
        <v>3000000</v>
      </c>
      <c r="U10" s="16">
        <v>1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8">
        <v>3000000</v>
      </c>
      <c r="AO10" s="18">
        <v>1</v>
      </c>
      <c r="AP10" s="18">
        <f>ROUNDDOWN(AN10,-3)</f>
        <v>3000000</v>
      </c>
      <c r="AQ10" s="18"/>
      <c r="AR10" s="18">
        <f>+H10*AQ10</f>
        <v>0</v>
      </c>
      <c r="AS10" s="19" t="str">
        <f>IF(H10=0,0,IF(AP10=(H10*6),"Smt-1 Lunas",IF(AP10=(H10*12),"SY2627 Lunas",AP10/AR10)))</f>
        <v>SY2627 Lunas</v>
      </c>
    </row>
    <row r="11" spans="2:45" ht="15" customHeight="1" x14ac:dyDescent="0.2">
      <c r="B11" s="13">
        <v>171</v>
      </c>
      <c r="C11" s="13" t="s">
        <v>151</v>
      </c>
      <c r="D11" s="13" t="s">
        <v>151</v>
      </c>
      <c r="E11" s="14">
        <v>34140445</v>
      </c>
      <c r="F11" s="15">
        <v>68605003621</v>
      </c>
      <c r="G11" s="15">
        <v>81232003621</v>
      </c>
      <c r="H11" s="16">
        <v>1000000</v>
      </c>
      <c r="I11" s="16" t="s">
        <v>223</v>
      </c>
      <c r="J11" s="16">
        <v>0</v>
      </c>
      <c r="K11" s="16">
        <v>4</v>
      </c>
      <c r="L11" s="13" t="s">
        <v>226</v>
      </c>
      <c r="M11" s="17">
        <v>46204</v>
      </c>
      <c r="N11" s="16">
        <v>0</v>
      </c>
      <c r="O11" s="16">
        <v>0</v>
      </c>
      <c r="P11" s="16">
        <v>1000000</v>
      </c>
      <c r="Q11" s="16">
        <v>1</v>
      </c>
      <c r="R11" s="16">
        <v>1000000</v>
      </c>
      <c r="S11" s="16">
        <v>1</v>
      </c>
      <c r="T11" s="16">
        <v>1000000</v>
      </c>
      <c r="U11" s="16">
        <v>1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8">
        <v>3000000</v>
      </c>
      <c r="AO11" s="18">
        <v>3</v>
      </c>
      <c r="AP11" s="18">
        <f>ROUNDDOWN(AN11,-3)</f>
        <v>3000000</v>
      </c>
      <c r="AQ11" s="18">
        <f ca="1">DATEDIF(M11,AS$1, "m")+1</f>
        <v>3</v>
      </c>
      <c r="AR11" s="18">
        <f ca="1">+H11*AQ11</f>
        <v>3000000</v>
      </c>
      <c r="AS11" s="19">
        <f ca="1">IF(H11=0,0,IF(AP11=(H11*6),"Smt-1 Lunas",IF(AP11=(H11*12),"SY2627 Lunas",AP11/AR11)))</f>
        <v>1</v>
      </c>
    </row>
    <row r="12" spans="2:45" ht="15" customHeight="1" x14ac:dyDescent="0.2">
      <c r="B12" s="13">
        <v>39</v>
      </c>
      <c r="C12" s="13" t="s">
        <v>55</v>
      </c>
      <c r="D12" s="13" t="s">
        <v>244</v>
      </c>
      <c r="E12" s="14">
        <v>34140122</v>
      </c>
      <c r="F12" s="15">
        <v>68605263357</v>
      </c>
      <c r="G12" s="15">
        <v>811263357</v>
      </c>
      <c r="H12" s="16">
        <v>750000</v>
      </c>
      <c r="I12" s="16" t="s">
        <v>223</v>
      </c>
      <c r="J12" s="16">
        <v>1</v>
      </c>
      <c r="K12" s="16">
        <v>1</v>
      </c>
      <c r="L12" s="13" t="s">
        <v>226</v>
      </c>
      <c r="M12" s="17">
        <v>46204</v>
      </c>
      <c r="N12" s="16"/>
      <c r="O12" s="16"/>
      <c r="P12" s="16">
        <v>0</v>
      </c>
      <c r="Q12" s="16">
        <v>0</v>
      </c>
      <c r="R12" s="16">
        <v>1500122</v>
      </c>
      <c r="S12" s="16">
        <v>1</v>
      </c>
      <c r="T12" s="16">
        <v>750122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8">
        <v>2250244</v>
      </c>
      <c r="AO12" s="18">
        <v>2</v>
      </c>
      <c r="AP12" s="18">
        <f>ROUNDDOWN(AN12,-3)</f>
        <v>2250000</v>
      </c>
      <c r="AQ12" s="18">
        <f ca="1">DATEDIF(M12,AS$1, "m")+1</f>
        <v>3</v>
      </c>
      <c r="AR12" s="18">
        <f ca="1">+H12*AQ12</f>
        <v>2250000</v>
      </c>
      <c r="AS12" s="19">
        <f ca="1">IF(H12=0,0,IF(AP12=(H12*6),"Smt-1 Lunas",IF(AP12=(H12*12),"SY2627 Lunas",AP12/AR12)))</f>
        <v>1</v>
      </c>
    </row>
    <row r="13" spans="2:45" ht="15" customHeight="1" x14ac:dyDescent="0.2">
      <c r="B13" s="13">
        <v>95</v>
      </c>
      <c r="C13" s="13" t="s">
        <v>101</v>
      </c>
      <c r="D13" s="13" t="s">
        <v>276</v>
      </c>
      <c r="E13" s="14">
        <v>34140276</v>
      </c>
      <c r="F13" s="15">
        <v>68605079755</v>
      </c>
      <c r="G13" s="15">
        <v>8121079755</v>
      </c>
      <c r="H13" s="16">
        <v>500000</v>
      </c>
      <c r="I13" s="16" t="s">
        <v>223</v>
      </c>
      <c r="J13" s="16">
        <v>0</v>
      </c>
      <c r="K13" s="16">
        <v>2</v>
      </c>
      <c r="L13" s="13" t="s">
        <v>226</v>
      </c>
      <c r="M13" s="17">
        <v>46204</v>
      </c>
      <c r="N13" s="16"/>
      <c r="O13" s="16"/>
      <c r="P13" s="16">
        <v>500276</v>
      </c>
      <c r="Q13" s="16">
        <v>1</v>
      </c>
      <c r="R13" s="16">
        <v>500276</v>
      </c>
      <c r="S13" s="16">
        <v>1</v>
      </c>
      <c r="T13" s="16">
        <v>500276</v>
      </c>
      <c r="U13" s="16">
        <v>1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8">
        <v>1500828</v>
      </c>
      <c r="AO13" s="18">
        <v>3</v>
      </c>
      <c r="AP13" s="18">
        <f>ROUNDDOWN(AN13,-3)</f>
        <v>1500000</v>
      </c>
      <c r="AQ13" s="18">
        <f ca="1">DATEDIF(M13,AS$1, "m")+1</f>
        <v>3</v>
      </c>
      <c r="AR13" s="18">
        <f ca="1">+H13*AQ13</f>
        <v>1500000</v>
      </c>
      <c r="AS13" s="19">
        <f ca="1">IF(H13=0,0,IF(AP13=(H13*6),"Smt-1 Lunas",IF(AP13=(H13*12),"SY2627 Lunas",AP13/AR13)))</f>
        <v>1</v>
      </c>
    </row>
    <row r="14" spans="2:45" ht="15" customHeight="1" x14ac:dyDescent="0.2">
      <c r="B14" s="13">
        <v>60</v>
      </c>
      <c r="C14" s="13" t="s">
        <v>72</v>
      </c>
      <c r="D14" s="13" t="s">
        <v>255</v>
      </c>
      <c r="E14" s="14">
        <v>34140171</v>
      </c>
      <c r="F14" s="15">
        <v>68605104790</v>
      </c>
      <c r="G14" s="15">
        <v>8161104790</v>
      </c>
      <c r="H14" s="16">
        <v>500000</v>
      </c>
      <c r="I14" s="16" t="s">
        <v>223</v>
      </c>
      <c r="J14" s="16">
        <v>0</v>
      </c>
      <c r="K14" s="16">
        <v>2</v>
      </c>
      <c r="L14" s="13" t="s">
        <v>226</v>
      </c>
      <c r="M14" s="17">
        <v>46204</v>
      </c>
      <c r="N14" s="16"/>
      <c r="O14" s="16"/>
      <c r="P14" s="16">
        <v>500171</v>
      </c>
      <c r="Q14" s="16">
        <v>1</v>
      </c>
      <c r="R14" s="16">
        <v>500171</v>
      </c>
      <c r="S14" s="16">
        <v>1</v>
      </c>
      <c r="T14" s="16">
        <v>500171</v>
      </c>
      <c r="U14" s="16">
        <v>1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8">
        <v>1500513</v>
      </c>
      <c r="AO14" s="18">
        <v>3</v>
      </c>
      <c r="AP14" s="18">
        <f>ROUNDDOWN(AN14,-3)</f>
        <v>1500000</v>
      </c>
      <c r="AQ14" s="18">
        <f ca="1">DATEDIF(M14,AS$1, "m")+1</f>
        <v>3</v>
      </c>
      <c r="AR14" s="18">
        <f ca="1">+H14*AQ14</f>
        <v>1500000</v>
      </c>
      <c r="AS14" s="19">
        <f ca="1">IF(H14=0,0,IF(AP14=(H14*6),"Smt-1 Lunas",IF(AP14=(H14*12),"SY2627 Lunas",AP14/AR14)))</f>
        <v>1</v>
      </c>
    </row>
    <row r="15" spans="2:45" ht="15" customHeight="1" x14ac:dyDescent="0.2">
      <c r="B15" s="13">
        <v>115</v>
      </c>
      <c r="C15" s="13" t="s">
        <v>110</v>
      </c>
      <c r="D15" s="13" t="s">
        <v>110</v>
      </c>
      <c r="E15" s="14">
        <v>34140387</v>
      </c>
      <c r="F15" s="15">
        <v>68605184790</v>
      </c>
      <c r="G15" s="15">
        <v>85240184790</v>
      </c>
      <c r="H15" s="16">
        <v>1000000</v>
      </c>
      <c r="I15" s="16" t="s">
        <v>223</v>
      </c>
      <c r="J15" s="16">
        <v>1</v>
      </c>
      <c r="K15" s="16">
        <v>2</v>
      </c>
      <c r="L15" s="13" t="s">
        <v>226</v>
      </c>
      <c r="M15" s="17">
        <v>46204</v>
      </c>
      <c r="N15" s="16"/>
      <c r="O15" s="16"/>
      <c r="P15" s="16">
        <v>1000384</v>
      </c>
      <c r="Q15" s="16">
        <v>1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8">
        <v>1000384</v>
      </c>
      <c r="AO15" s="18">
        <v>1</v>
      </c>
      <c r="AP15" s="18">
        <f>ROUNDDOWN(AN15,-3)</f>
        <v>1000000</v>
      </c>
      <c r="AQ15" s="18">
        <f ca="1">DATEDIF(M15,AS$1, "m")+1</f>
        <v>3</v>
      </c>
      <c r="AR15" s="18">
        <f ca="1">+H15*AQ15</f>
        <v>3000000</v>
      </c>
      <c r="AS15" s="19">
        <f ca="1">IF(H15=0,0,IF(AP15=(H15*6),"Smt-1 Lunas",IF(AP15=(H15*12),"SY2627 Lunas",AP15/AR15)))</f>
        <v>0.33333333333333331</v>
      </c>
    </row>
    <row r="16" spans="2:45" ht="15" customHeight="1" x14ac:dyDescent="0.2">
      <c r="B16" s="13">
        <v>49</v>
      </c>
      <c r="C16" s="13" t="s">
        <v>62</v>
      </c>
      <c r="D16" s="13" t="s">
        <v>248</v>
      </c>
      <c r="E16" s="14">
        <v>34140143</v>
      </c>
      <c r="F16" s="15">
        <v>68605454575</v>
      </c>
      <c r="G16" s="15">
        <v>81299199932</v>
      </c>
      <c r="H16" s="16">
        <v>500000</v>
      </c>
      <c r="I16" s="16" t="s">
        <v>223</v>
      </c>
      <c r="J16" s="16">
        <v>0</v>
      </c>
      <c r="K16" s="16">
        <v>2</v>
      </c>
      <c r="L16" s="13" t="s">
        <v>226</v>
      </c>
      <c r="M16" s="17">
        <v>46204</v>
      </c>
      <c r="N16" s="16"/>
      <c r="O16" s="16"/>
      <c r="P16" s="16">
        <v>500143</v>
      </c>
      <c r="Q16" s="16">
        <v>1</v>
      </c>
      <c r="R16" s="16">
        <v>500143</v>
      </c>
      <c r="S16" s="16">
        <v>1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8">
        <v>1000286</v>
      </c>
      <c r="AO16" s="18">
        <v>2</v>
      </c>
      <c r="AP16" s="18">
        <f>ROUNDDOWN(AN16,-3)</f>
        <v>1000000</v>
      </c>
      <c r="AQ16" s="18">
        <f ca="1">DATEDIF(M16,AS$1, "m")+1</f>
        <v>3</v>
      </c>
      <c r="AR16" s="18">
        <f ca="1">+H16*AQ16</f>
        <v>1500000</v>
      </c>
      <c r="AS16" s="19">
        <f ca="1">IF(H16=0,0,IF(AP16=(H16*6),"Smt-1 Lunas",IF(AP16=(H16*12),"SY2627 Lunas",AP16/AR16)))</f>
        <v>0.66666666666666663</v>
      </c>
    </row>
    <row r="17" spans="1:45" ht="15" customHeight="1" x14ac:dyDescent="0.2">
      <c r="B17" s="13">
        <v>157</v>
      </c>
      <c r="C17" s="13" t="s">
        <v>137</v>
      </c>
      <c r="D17" s="13" t="s">
        <v>137</v>
      </c>
      <c r="E17" s="14">
        <v>34140431</v>
      </c>
      <c r="F17" s="15">
        <v>68605370358</v>
      </c>
      <c r="G17" s="15">
        <v>81288370358</v>
      </c>
      <c r="H17" s="16">
        <v>250000</v>
      </c>
      <c r="I17" s="16" t="s">
        <v>223</v>
      </c>
      <c r="J17" s="16">
        <v>0</v>
      </c>
      <c r="K17" s="16">
        <v>1</v>
      </c>
      <c r="L17" s="13" t="s">
        <v>226</v>
      </c>
      <c r="M17" s="17">
        <v>46174</v>
      </c>
      <c r="N17" s="16">
        <v>250000</v>
      </c>
      <c r="O17" s="16">
        <v>1</v>
      </c>
      <c r="P17" s="16">
        <v>250000</v>
      </c>
      <c r="Q17" s="16">
        <v>1</v>
      </c>
      <c r="R17" s="16">
        <v>500000</v>
      </c>
      <c r="S17" s="16">
        <v>2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8">
        <v>1000000</v>
      </c>
      <c r="AO17" s="18">
        <v>4</v>
      </c>
      <c r="AP17" s="18">
        <f>ROUNDDOWN(AN17,-3)</f>
        <v>1000000</v>
      </c>
      <c r="AQ17" s="18">
        <f ca="1">DATEDIF(M17,AS$1, "m")+1</f>
        <v>4</v>
      </c>
      <c r="AR17" s="18">
        <f ca="1">+H17*AQ17</f>
        <v>1000000</v>
      </c>
      <c r="AS17" s="19">
        <f ca="1">IF(H17=0,0,IF(AP17=(H17*6),"Smt-1 Lunas",IF(AP17=(H17*12),"SY2627 Lunas",AP17/AR17)))</f>
        <v>1</v>
      </c>
    </row>
    <row r="18" spans="1:45" ht="15" customHeight="1" x14ac:dyDescent="0.2">
      <c r="B18" s="13">
        <v>109</v>
      </c>
      <c r="C18" s="13" t="s">
        <v>106</v>
      </c>
      <c r="D18" s="13" t="s">
        <v>106</v>
      </c>
      <c r="E18" s="14">
        <v>34140373</v>
      </c>
      <c r="F18" s="15">
        <v>68605519204</v>
      </c>
      <c r="G18" s="15">
        <v>8129519204</v>
      </c>
      <c r="H18" s="16">
        <v>250000</v>
      </c>
      <c r="I18" s="16" t="s">
        <v>223</v>
      </c>
      <c r="J18" s="16">
        <v>0</v>
      </c>
      <c r="K18" s="16">
        <v>1</v>
      </c>
      <c r="L18" s="13" t="s">
        <v>226</v>
      </c>
      <c r="M18" s="17">
        <v>46204</v>
      </c>
      <c r="N18" s="16"/>
      <c r="O18" s="16"/>
      <c r="P18" s="16">
        <v>250373</v>
      </c>
      <c r="Q18" s="16">
        <v>1</v>
      </c>
      <c r="R18" s="16">
        <v>250373</v>
      </c>
      <c r="S18" s="16">
        <v>1</v>
      </c>
      <c r="T18" s="16">
        <v>250373</v>
      </c>
      <c r="U18" s="16">
        <v>1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8">
        <v>751119</v>
      </c>
      <c r="AO18" s="18">
        <v>3</v>
      </c>
      <c r="AP18" s="18">
        <f>ROUNDDOWN(AN18,-3)</f>
        <v>751000</v>
      </c>
      <c r="AQ18" s="18">
        <f ca="1">DATEDIF(M18,AS$1, "m")+1</f>
        <v>3</v>
      </c>
      <c r="AR18" s="18">
        <f ca="1">+H18*AQ18</f>
        <v>750000</v>
      </c>
      <c r="AS18" s="19">
        <f ca="1">IF(H18=0,0,IF(AP18=(H18*6),"Smt-1 Lunas",IF(AP18=(H18*12),"SY2627 Lunas",AP18/AR18)))</f>
        <v>1.0013333333333334</v>
      </c>
    </row>
    <row r="19" spans="1:45" ht="15" customHeight="1" x14ac:dyDescent="0.2">
      <c r="B19" s="13">
        <v>166</v>
      </c>
      <c r="C19" s="13" t="s">
        <v>146</v>
      </c>
      <c r="D19" s="13" t="s">
        <v>146</v>
      </c>
      <c r="E19" s="14">
        <v>34140440</v>
      </c>
      <c r="F19" s="15">
        <v>68605521088</v>
      </c>
      <c r="G19" s="15">
        <v>81317521088</v>
      </c>
      <c r="H19" s="16">
        <v>250000</v>
      </c>
      <c r="I19" s="16" t="s">
        <v>223</v>
      </c>
      <c r="J19" s="16">
        <v>0</v>
      </c>
      <c r="K19" s="16">
        <v>1</v>
      </c>
      <c r="L19" s="13" t="s">
        <v>226</v>
      </c>
      <c r="M19" s="17">
        <v>46175</v>
      </c>
      <c r="N19" s="16">
        <v>250000</v>
      </c>
      <c r="O19" s="16">
        <v>1</v>
      </c>
      <c r="P19" s="16">
        <v>250000</v>
      </c>
      <c r="Q19" s="16">
        <v>1</v>
      </c>
      <c r="R19" s="16">
        <v>0</v>
      </c>
      <c r="S19" s="16">
        <v>0</v>
      </c>
      <c r="T19" s="16">
        <v>250000</v>
      </c>
      <c r="U19" s="16">
        <v>1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8">
        <v>750000</v>
      </c>
      <c r="AO19" s="18">
        <v>3</v>
      </c>
      <c r="AP19" s="18">
        <f>ROUNDDOWN(AN19,-3)</f>
        <v>750000</v>
      </c>
      <c r="AQ19" s="18">
        <f ca="1">DATEDIF(M19,AS$1, "m")+1</f>
        <v>4</v>
      </c>
      <c r="AR19" s="18">
        <f ca="1">+H19*AQ19</f>
        <v>1000000</v>
      </c>
      <c r="AS19" s="19">
        <f ca="1">IF(H19=0,0,IF(AP19=(H19*6),"Smt-1 Lunas",IF(AP19=(H19*12),"SY2627 Lunas",AP19/AR19)))</f>
        <v>0.75</v>
      </c>
    </row>
    <row r="20" spans="1:45" ht="15" customHeight="1" x14ac:dyDescent="0.2">
      <c r="B20" s="13">
        <v>170</v>
      </c>
      <c r="C20" s="13" t="s">
        <v>150</v>
      </c>
      <c r="D20" s="13" t="s">
        <v>298</v>
      </c>
      <c r="E20" s="14">
        <v>34140444</v>
      </c>
      <c r="F20" s="15">
        <v>68605313909</v>
      </c>
      <c r="G20" s="15">
        <v>81280313909</v>
      </c>
      <c r="H20" s="16">
        <v>250000</v>
      </c>
      <c r="I20" s="16" t="s">
        <v>223</v>
      </c>
      <c r="J20" s="16">
        <v>0</v>
      </c>
      <c r="K20" s="16">
        <v>1</v>
      </c>
      <c r="L20" s="13" t="s">
        <v>226</v>
      </c>
      <c r="M20" s="17">
        <v>46204</v>
      </c>
      <c r="N20" s="16">
        <v>0</v>
      </c>
      <c r="O20" s="16">
        <v>0</v>
      </c>
      <c r="P20" s="16">
        <v>250000</v>
      </c>
      <c r="Q20" s="16">
        <v>1</v>
      </c>
      <c r="R20" s="16">
        <v>250000</v>
      </c>
      <c r="S20" s="16">
        <v>1</v>
      </c>
      <c r="T20" s="16">
        <v>250000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8">
        <v>750000</v>
      </c>
      <c r="AO20" s="18">
        <v>3</v>
      </c>
      <c r="AP20" s="18">
        <f>ROUNDDOWN(AN20,-3)</f>
        <v>750000</v>
      </c>
      <c r="AQ20" s="18">
        <f ca="1">DATEDIF(M20,AS$1, "m")+1</f>
        <v>3</v>
      </c>
      <c r="AR20" s="18">
        <f ca="1">+H20*AQ20</f>
        <v>750000</v>
      </c>
      <c r="AS20" s="19">
        <f ca="1">IF(H20=0,0,IF(AP20=(H20*6),"Smt-1 Lunas",IF(AP20=(H20*12),"SY2627 Lunas",AP20/AR20)))</f>
        <v>1</v>
      </c>
    </row>
    <row r="21" spans="1:45" ht="15" customHeight="1" x14ac:dyDescent="0.2">
      <c r="B21" s="13">
        <v>74</v>
      </c>
      <c r="C21" s="13" t="s">
        <v>84</v>
      </c>
      <c r="D21" s="13" t="s">
        <v>265</v>
      </c>
      <c r="E21" s="14">
        <v>34140200</v>
      </c>
      <c r="F21" s="15">
        <v>68605113130</v>
      </c>
      <c r="G21" s="15">
        <v>818113130</v>
      </c>
      <c r="H21" s="16">
        <v>500000</v>
      </c>
      <c r="I21" s="16" t="s">
        <v>223</v>
      </c>
      <c r="J21" s="16">
        <v>1</v>
      </c>
      <c r="K21" s="16">
        <v>0</v>
      </c>
      <c r="L21" s="13" t="s">
        <v>226</v>
      </c>
      <c r="M21" s="17">
        <v>46204</v>
      </c>
      <c r="N21" s="16"/>
      <c r="O21" s="16"/>
      <c r="P21" s="16">
        <v>0</v>
      </c>
      <c r="Q21" s="16">
        <v>0</v>
      </c>
      <c r="R21" s="16">
        <v>500002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8">
        <v>500002</v>
      </c>
      <c r="AO21" s="18">
        <v>1</v>
      </c>
      <c r="AP21" s="18">
        <f>ROUNDDOWN(AN21,-3)</f>
        <v>500000</v>
      </c>
      <c r="AQ21" s="18">
        <f ca="1">DATEDIF(M21,AS$1, "m")+1</f>
        <v>3</v>
      </c>
      <c r="AR21" s="18">
        <f ca="1">+H21*AQ21</f>
        <v>1500000</v>
      </c>
      <c r="AS21" s="19">
        <f ca="1">IF(H21=0,0,IF(AP21=(H21*6),"Smt-1 Lunas",IF(AP21=(H21*12),"SY2627 Lunas",AP21/AR21)))</f>
        <v>0.33333333333333331</v>
      </c>
    </row>
    <row r="22" spans="1:45" ht="15" customHeight="1" x14ac:dyDescent="0.2">
      <c r="B22" s="13">
        <v>9</v>
      </c>
      <c r="C22" s="13" t="s">
        <v>37</v>
      </c>
      <c r="D22" s="13" t="s">
        <v>37</v>
      </c>
      <c r="E22" s="14">
        <v>34140034</v>
      </c>
      <c r="F22" s="15">
        <v>68605607998</v>
      </c>
      <c r="G22" s="15">
        <v>8179833394</v>
      </c>
      <c r="H22" s="16">
        <v>250000</v>
      </c>
      <c r="I22" s="16" t="s">
        <v>223</v>
      </c>
      <c r="J22" s="16">
        <v>0</v>
      </c>
      <c r="K22" s="16">
        <v>1</v>
      </c>
      <c r="L22" s="13" t="s">
        <v>226</v>
      </c>
      <c r="M22" s="17">
        <v>46204</v>
      </c>
      <c r="N22" s="16">
        <v>0</v>
      </c>
      <c r="O22" s="16">
        <v>0</v>
      </c>
      <c r="P22" s="16">
        <v>250000</v>
      </c>
      <c r="Q22" s="16">
        <v>1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8">
        <v>250000</v>
      </c>
      <c r="AO22" s="18">
        <v>1</v>
      </c>
      <c r="AP22" s="18">
        <f>ROUNDDOWN(AN22,-3)</f>
        <v>250000</v>
      </c>
      <c r="AQ22" s="18">
        <f ca="1">DATEDIF(M22,AS$1, "m")+1</f>
        <v>3</v>
      </c>
      <c r="AR22" s="18">
        <f ca="1">+H22*AQ22</f>
        <v>750000</v>
      </c>
      <c r="AS22" s="19">
        <f ca="1">IF(H22=0,0,IF(AP22=(H22*6),"Smt-1 Lunas",IF(AP22=(H22*12),"SY2627 Lunas",AP22/AR22)))</f>
        <v>0.33333333333333331</v>
      </c>
    </row>
    <row r="23" spans="1:45" ht="15" customHeight="1" x14ac:dyDescent="0.2">
      <c r="A23" s="5"/>
      <c r="B23" s="13">
        <v>4</v>
      </c>
      <c r="C23" s="13" t="s">
        <v>161</v>
      </c>
      <c r="D23" s="13" t="s">
        <v>303</v>
      </c>
      <c r="E23" s="14">
        <v>34140017</v>
      </c>
      <c r="F23" s="15">
        <v>68605688979</v>
      </c>
      <c r="G23" s="15">
        <v>87711688979</v>
      </c>
      <c r="H23" s="16">
        <v>0</v>
      </c>
      <c r="I23" s="16">
        <v>0</v>
      </c>
      <c r="J23" s="16">
        <v>0</v>
      </c>
      <c r="K23" s="16">
        <v>0</v>
      </c>
      <c r="L23" s="13" t="s">
        <v>226</v>
      </c>
      <c r="M23" s="17">
        <v>0</v>
      </c>
      <c r="N23" s="16"/>
      <c r="O23" s="16"/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8">
        <v>0</v>
      </c>
      <c r="AO23" s="18">
        <v>0</v>
      </c>
      <c r="AP23" s="18">
        <f>ROUNDDOWN(AN23,-3)</f>
        <v>0</v>
      </c>
      <c r="AQ23" s="18"/>
      <c r="AR23" s="18">
        <f>+H23*AQ23</f>
        <v>0</v>
      </c>
      <c r="AS23" s="19">
        <f>IF(H23=0,0,IF(AP23=(H23*6),"Smt-1 Lunas",IF(AP23=(H23*12),"SY2627 Lunas",AP23/AR23)))</f>
        <v>0</v>
      </c>
    </row>
    <row r="24" spans="1:45" ht="15" customHeight="1" x14ac:dyDescent="0.2">
      <c r="A24" s="5"/>
      <c r="B24" s="13">
        <v>12</v>
      </c>
      <c r="C24" s="13" t="s">
        <v>162</v>
      </c>
      <c r="D24" s="13" t="s">
        <v>162</v>
      </c>
      <c r="E24" s="14">
        <v>34140038</v>
      </c>
      <c r="F24" s="15">
        <v>68605434899</v>
      </c>
      <c r="G24" s="15">
        <v>81361434899</v>
      </c>
      <c r="H24" s="16">
        <v>0</v>
      </c>
      <c r="I24" s="16">
        <v>0</v>
      </c>
      <c r="J24" s="16">
        <v>0</v>
      </c>
      <c r="K24" s="16">
        <v>0</v>
      </c>
      <c r="L24" s="13" t="s">
        <v>226</v>
      </c>
      <c r="M24" s="17">
        <v>0</v>
      </c>
      <c r="N24" s="16"/>
      <c r="O24" s="16"/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8">
        <v>0</v>
      </c>
      <c r="AO24" s="18">
        <v>0</v>
      </c>
      <c r="AP24" s="18">
        <f>ROUNDDOWN(AN24,-3)</f>
        <v>0</v>
      </c>
      <c r="AQ24" s="18"/>
      <c r="AR24" s="18">
        <f>+H24*AQ24</f>
        <v>0</v>
      </c>
      <c r="AS24" s="19">
        <f>IF(H24=0,0,IF(AP24=(H24*6),"Smt-1 Lunas",IF(AP24=(H24*12),"SY2627 Lunas",AP24/AR24)))</f>
        <v>0</v>
      </c>
    </row>
    <row r="25" spans="1:45" ht="15" customHeight="1" x14ac:dyDescent="0.2">
      <c r="A25" s="5"/>
      <c r="B25" s="13">
        <v>28</v>
      </c>
      <c r="C25" s="13" t="s">
        <v>165</v>
      </c>
      <c r="D25" s="13" t="s">
        <v>165</v>
      </c>
      <c r="E25" s="14">
        <v>34140092</v>
      </c>
      <c r="F25" s="15">
        <v>68605760633</v>
      </c>
      <c r="G25" s="15">
        <v>817760633</v>
      </c>
      <c r="H25" s="16">
        <v>0</v>
      </c>
      <c r="I25" s="16">
        <v>0</v>
      </c>
      <c r="J25" s="16">
        <v>0</v>
      </c>
      <c r="K25" s="16">
        <v>0</v>
      </c>
      <c r="L25" s="13" t="s">
        <v>226</v>
      </c>
      <c r="M25" s="17">
        <v>0</v>
      </c>
      <c r="N25" s="16"/>
      <c r="O25" s="16"/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8">
        <v>0</v>
      </c>
      <c r="AO25" s="18">
        <v>0</v>
      </c>
      <c r="AP25" s="18">
        <f>ROUNDDOWN(AN25,-3)</f>
        <v>0</v>
      </c>
      <c r="AQ25" s="18"/>
      <c r="AR25" s="18">
        <f>+H25*AQ25</f>
        <v>0</v>
      </c>
      <c r="AS25" s="19">
        <f>IF(H25=0,0,IF(AP25=(H25*6),"Smt-1 Lunas",IF(AP25=(H25*12),"SY2627 Lunas",AP25/AR25)))</f>
        <v>0</v>
      </c>
    </row>
    <row r="26" spans="1:45" ht="15" customHeight="1" x14ac:dyDescent="0.2">
      <c r="A26" s="5"/>
      <c r="B26" s="13">
        <v>36</v>
      </c>
      <c r="C26" s="13" t="s">
        <v>167</v>
      </c>
      <c r="D26" s="13" t="s">
        <v>167</v>
      </c>
      <c r="E26" s="14">
        <v>34140113</v>
      </c>
      <c r="F26" s="15">
        <v>68605535878</v>
      </c>
      <c r="G26" s="15">
        <v>811535878</v>
      </c>
      <c r="H26" s="16">
        <v>0</v>
      </c>
      <c r="I26" s="16">
        <v>0</v>
      </c>
      <c r="J26" s="16">
        <v>0</v>
      </c>
      <c r="K26" s="16">
        <v>0</v>
      </c>
      <c r="L26" s="13" t="s">
        <v>226</v>
      </c>
      <c r="M26" s="17">
        <v>0</v>
      </c>
      <c r="N26" s="16"/>
      <c r="O26" s="16"/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8">
        <v>0</v>
      </c>
      <c r="AO26" s="18">
        <v>0</v>
      </c>
      <c r="AP26" s="18">
        <f>ROUNDDOWN(AN26,-3)</f>
        <v>0</v>
      </c>
      <c r="AQ26" s="18"/>
      <c r="AR26" s="18">
        <f>+H26*AQ26</f>
        <v>0</v>
      </c>
      <c r="AS26" s="19">
        <f>IF(H26=0,0,IF(AP26=(H26*6),"Smt-1 Lunas",IF(AP26=(H26*12),"SY2627 Lunas",AP26/AR26)))</f>
        <v>0</v>
      </c>
    </row>
    <row r="27" spans="1:45" ht="15" customHeight="1" x14ac:dyDescent="0.2">
      <c r="A27" s="5"/>
      <c r="B27" s="13">
        <v>42</v>
      </c>
      <c r="C27" s="13" t="s">
        <v>168</v>
      </c>
      <c r="D27" s="13" t="s">
        <v>306</v>
      </c>
      <c r="E27" s="14">
        <v>34140128</v>
      </c>
      <c r="F27" s="15">
        <v>68605152982</v>
      </c>
      <c r="G27" s="15">
        <v>818152982</v>
      </c>
      <c r="H27" s="16">
        <v>0</v>
      </c>
      <c r="I27" s="16">
        <v>0</v>
      </c>
      <c r="J27" s="16">
        <v>0</v>
      </c>
      <c r="K27" s="16">
        <v>0</v>
      </c>
      <c r="L27" s="13" t="s">
        <v>226</v>
      </c>
      <c r="M27" s="17">
        <v>0</v>
      </c>
      <c r="N27" s="16"/>
      <c r="O27" s="16"/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8">
        <v>0</v>
      </c>
      <c r="AO27" s="18">
        <v>0</v>
      </c>
      <c r="AP27" s="18">
        <f>ROUNDDOWN(AN27,-3)</f>
        <v>0</v>
      </c>
      <c r="AQ27" s="18"/>
      <c r="AR27" s="18">
        <f>+H27*AQ27</f>
        <v>0</v>
      </c>
      <c r="AS27" s="19">
        <f>IF(H27=0,0,IF(AP27=(H27*6),"Smt-1 Lunas",IF(AP27=(H27*12),"SY2627 Lunas",AP27/AR27)))</f>
        <v>0</v>
      </c>
    </row>
    <row r="28" spans="1:45" ht="15" customHeight="1" x14ac:dyDescent="0.2">
      <c r="A28" s="5"/>
      <c r="B28" s="13">
        <v>46</v>
      </c>
      <c r="C28" s="13" t="s">
        <v>169</v>
      </c>
      <c r="D28" s="13" t="s">
        <v>307</v>
      </c>
      <c r="E28" s="14">
        <v>34140135</v>
      </c>
      <c r="F28" s="15">
        <v>68605470677</v>
      </c>
      <c r="G28" s="15">
        <v>8129470677</v>
      </c>
      <c r="H28" s="16">
        <v>500000</v>
      </c>
      <c r="I28" s="16" t="s">
        <v>230</v>
      </c>
      <c r="J28" s="16">
        <v>0</v>
      </c>
      <c r="K28" s="16">
        <v>2</v>
      </c>
      <c r="L28" s="13" t="s">
        <v>226</v>
      </c>
      <c r="M28" s="17">
        <v>46204</v>
      </c>
      <c r="N28" s="16"/>
      <c r="O28" s="16"/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8">
        <v>0</v>
      </c>
      <c r="AO28" s="18">
        <v>0</v>
      </c>
      <c r="AP28" s="18">
        <f>ROUNDDOWN(AN28,-3)</f>
        <v>0</v>
      </c>
      <c r="AQ28" s="18"/>
      <c r="AR28" s="18">
        <f>+H28*AQ28</f>
        <v>0</v>
      </c>
      <c r="AS28" s="19" t="e">
        <f>IF(H28=0,0,IF(AP28=(H28*6),"Smt-1 Lunas",IF(AP28=(H28*12),"SY2627 Lunas",AP28/AR28)))</f>
        <v>#DIV/0!</v>
      </c>
    </row>
    <row r="29" spans="1:45" ht="15" customHeight="1" x14ac:dyDescent="0.2">
      <c r="A29" s="5"/>
      <c r="B29" s="13">
        <v>53</v>
      </c>
      <c r="C29" s="13" t="s">
        <v>170</v>
      </c>
      <c r="D29" s="13" t="s">
        <v>308</v>
      </c>
      <c r="E29" s="14">
        <v>34140150</v>
      </c>
      <c r="F29" s="15">
        <v>68605833536</v>
      </c>
      <c r="G29" s="15">
        <v>81218833536</v>
      </c>
      <c r="H29" s="16">
        <v>500000</v>
      </c>
      <c r="I29" s="16" t="s">
        <v>225</v>
      </c>
      <c r="J29" s="16">
        <v>0</v>
      </c>
      <c r="K29" s="16">
        <v>2</v>
      </c>
      <c r="L29" s="13" t="s">
        <v>226</v>
      </c>
      <c r="M29" s="17">
        <v>46204</v>
      </c>
      <c r="N29" s="16"/>
      <c r="O29" s="16"/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8">
        <v>0</v>
      </c>
      <c r="AO29" s="18">
        <v>0</v>
      </c>
      <c r="AP29" s="18">
        <f>ROUNDDOWN(AN29,-3)</f>
        <v>0</v>
      </c>
      <c r="AQ29" s="18"/>
      <c r="AR29" s="18">
        <f>+H29*AQ29</f>
        <v>0</v>
      </c>
      <c r="AS29" s="19" t="e">
        <f>IF(H29=0,0,IF(AP29=(H29*6),"Smt-1 Lunas",IF(AP29=(H29*12),"SY2627 Lunas",AP29/AR29)))</f>
        <v>#DIV/0!</v>
      </c>
    </row>
    <row r="30" spans="1:45" ht="15" customHeight="1" x14ac:dyDescent="0.2">
      <c r="B30" s="13">
        <v>110</v>
      </c>
      <c r="C30" s="13" t="s">
        <v>107</v>
      </c>
      <c r="D30" s="13" t="s">
        <v>107</v>
      </c>
      <c r="E30" s="14">
        <v>34140374</v>
      </c>
      <c r="F30" s="15">
        <v>68605079272</v>
      </c>
      <c r="G30" s="15">
        <v>87881079272</v>
      </c>
      <c r="H30" s="16">
        <v>750000</v>
      </c>
      <c r="I30" s="16" t="s">
        <v>225</v>
      </c>
      <c r="J30" s="16">
        <v>1</v>
      </c>
      <c r="K30" s="16">
        <v>1</v>
      </c>
      <c r="L30" s="13" t="s">
        <v>239</v>
      </c>
      <c r="M30" s="17">
        <v>46204</v>
      </c>
      <c r="N30" s="16"/>
      <c r="O30" s="16"/>
      <c r="P30" s="16">
        <v>0</v>
      </c>
      <c r="Q30" s="16">
        <v>0</v>
      </c>
      <c r="R30" s="16">
        <v>9000000</v>
      </c>
      <c r="S30" s="16">
        <v>1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8">
        <v>9000000</v>
      </c>
      <c r="AO30" s="18">
        <v>1</v>
      </c>
      <c r="AP30" s="18">
        <f>ROUNDDOWN(AN30,-3)</f>
        <v>9000000</v>
      </c>
      <c r="AQ30" s="18">
        <f ca="1">DATEDIF(M30,AS$1, "m")+1</f>
        <v>3</v>
      </c>
      <c r="AR30" s="18">
        <f ca="1">+H30*AQ30</f>
        <v>2250000</v>
      </c>
      <c r="AS30" s="19" t="str">
        <f>IF(H30=0,0,IF(AP30=(H30*6),"Smt-1 Lunas",IF(AP30=(H30*12),"SY2627 Lunas",AP30/AR30)))</f>
        <v>SY2627 Lunas</v>
      </c>
    </row>
    <row r="31" spans="1:45" ht="15" customHeight="1" x14ac:dyDescent="0.2">
      <c r="B31" s="13">
        <v>16</v>
      </c>
      <c r="C31" s="13" t="s">
        <v>173</v>
      </c>
      <c r="D31" s="13" t="s">
        <v>173</v>
      </c>
      <c r="E31" s="14">
        <v>34140053</v>
      </c>
      <c r="F31" s="15">
        <v>68605186660</v>
      </c>
      <c r="G31" s="15">
        <v>818186660</v>
      </c>
      <c r="H31" s="16">
        <v>500000</v>
      </c>
      <c r="I31" s="16" t="s">
        <v>223</v>
      </c>
      <c r="J31" s="16">
        <v>0</v>
      </c>
      <c r="K31" s="16">
        <v>2</v>
      </c>
      <c r="L31" s="13" t="s">
        <v>239</v>
      </c>
      <c r="M31" s="17">
        <v>46204</v>
      </c>
      <c r="N31" s="16"/>
      <c r="O31" s="16"/>
      <c r="P31" s="16">
        <v>0</v>
      </c>
      <c r="Q31" s="16">
        <v>0</v>
      </c>
      <c r="R31" s="16">
        <v>0</v>
      </c>
      <c r="S31" s="16">
        <v>0</v>
      </c>
      <c r="T31" s="16">
        <v>6000000</v>
      </c>
      <c r="U31" s="16">
        <v>1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8">
        <v>6000000</v>
      </c>
      <c r="AO31" s="18">
        <v>1</v>
      </c>
      <c r="AP31" s="18">
        <f>ROUNDDOWN(AN31,-3)</f>
        <v>6000000</v>
      </c>
      <c r="AQ31" s="18"/>
      <c r="AR31" s="18">
        <f>+H31*AQ31</f>
        <v>0</v>
      </c>
      <c r="AS31" s="19" t="str">
        <f>IF(H31=0,0,IF(AP31=(H31*6),"Smt-1 Lunas",IF(AP31=(H31*12),"SY2627 Lunas",AP31/AR31)))</f>
        <v>SY2627 Lunas</v>
      </c>
    </row>
    <row r="32" spans="1:45" ht="15" customHeight="1" x14ac:dyDescent="0.2">
      <c r="B32" s="13">
        <v>62</v>
      </c>
      <c r="C32" s="13" t="s">
        <v>178</v>
      </c>
      <c r="D32" s="13" t="s">
        <v>313</v>
      </c>
      <c r="E32" s="14">
        <v>34140181</v>
      </c>
      <c r="F32" s="15">
        <v>68605103408</v>
      </c>
      <c r="G32" s="15">
        <v>81365103408</v>
      </c>
      <c r="H32" s="16">
        <v>1000000</v>
      </c>
      <c r="I32" s="16" t="s">
        <v>230</v>
      </c>
      <c r="J32" s="16">
        <v>2</v>
      </c>
      <c r="K32" s="16">
        <v>0</v>
      </c>
      <c r="L32" s="13" t="s">
        <v>239</v>
      </c>
      <c r="M32" s="17">
        <v>46204</v>
      </c>
      <c r="N32" s="16"/>
      <c r="O32" s="16"/>
      <c r="P32" s="16">
        <v>0</v>
      </c>
      <c r="Q32" s="16">
        <v>0</v>
      </c>
      <c r="R32" s="16">
        <v>0</v>
      </c>
      <c r="S32" s="16">
        <v>0</v>
      </c>
      <c r="T32" s="16">
        <v>6000000</v>
      </c>
      <c r="U32" s="16">
        <v>1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8">
        <v>6000000</v>
      </c>
      <c r="AO32" s="18">
        <v>1</v>
      </c>
      <c r="AP32" s="18">
        <f>ROUNDDOWN(AN32,-3)</f>
        <v>6000000</v>
      </c>
      <c r="AQ32" s="18"/>
      <c r="AR32" s="18">
        <f>+H32*AQ32</f>
        <v>0</v>
      </c>
      <c r="AS32" s="19" t="str">
        <f>IF(H32=0,0,IF(AP32=(H32*6),"Smt-1 Lunas",IF(AP32=(H32*12),"SY2627 Lunas",AP32/AR32)))</f>
        <v>Smt-1 Lunas</v>
      </c>
    </row>
    <row r="33" spans="1:45" ht="15" customHeight="1" x14ac:dyDescent="0.2">
      <c r="B33" s="13">
        <v>67</v>
      </c>
      <c r="C33" s="13" t="s">
        <v>78</v>
      </c>
      <c r="D33" s="13" t="s">
        <v>260</v>
      </c>
      <c r="E33" s="14">
        <v>34140187</v>
      </c>
      <c r="F33" s="15">
        <v>68605001206</v>
      </c>
      <c r="G33" s="15">
        <v>81299199932</v>
      </c>
      <c r="H33" s="16">
        <v>1000000</v>
      </c>
      <c r="I33" s="16" t="s">
        <v>223</v>
      </c>
      <c r="J33" s="16">
        <v>1</v>
      </c>
      <c r="K33" s="16">
        <v>2</v>
      </c>
      <c r="L33" s="13" t="s">
        <v>239</v>
      </c>
      <c r="M33" s="17">
        <v>46204</v>
      </c>
      <c r="N33" s="16"/>
      <c r="O33" s="16"/>
      <c r="P33" s="16">
        <v>1500000</v>
      </c>
      <c r="Q33" s="16">
        <v>1</v>
      </c>
      <c r="R33" s="16">
        <v>1500000</v>
      </c>
      <c r="S33" s="16">
        <v>1</v>
      </c>
      <c r="T33" s="16">
        <v>1500000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8">
        <v>4500000</v>
      </c>
      <c r="AO33" s="18">
        <v>3</v>
      </c>
      <c r="AP33" s="18">
        <f>ROUNDDOWN(AN33,-3)</f>
        <v>4500000</v>
      </c>
      <c r="AQ33" s="18">
        <f ca="1">DATEDIF(M33,AS$1, "m")+1</f>
        <v>3</v>
      </c>
      <c r="AR33" s="18">
        <f ca="1">+H33*AQ33</f>
        <v>3000000</v>
      </c>
      <c r="AS33" s="19">
        <f ca="1">IF(H33=0,0,IF(AP33=(H33*6),"Smt-1 Lunas",IF(AP33=(H33*12),"SY2627 Lunas",AP33/AR33)))</f>
        <v>1.5</v>
      </c>
    </row>
    <row r="34" spans="1:45" ht="15" customHeight="1" x14ac:dyDescent="0.2">
      <c r="B34" s="13">
        <v>52</v>
      </c>
      <c r="C34" s="13" t="s">
        <v>65</v>
      </c>
      <c r="D34" s="13" t="s">
        <v>250</v>
      </c>
      <c r="E34" s="14">
        <v>34140148</v>
      </c>
      <c r="F34" s="15">
        <v>68605834009</v>
      </c>
      <c r="G34" s="15">
        <v>8161834009</v>
      </c>
      <c r="H34" s="16">
        <v>1000000</v>
      </c>
      <c r="I34" s="16" t="s">
        <v>223</v>
      </c>
      <c r="J34" s="16">
        <v>1</v>
      </c>
      <c r="K34" s="16">
        <v>2</v>
      </c>
      <c r="L34" s="13" t="s">
        <v>239</v>
      </c>
      <c r="M34" s="17">
        <v>46204</v>
      </c>
      <c r="N34" s="16"/>
      <c r="O34" s="16"/>
      <c r="P34" s="16">
        <v>1000148</v>
      </c>
      <c r="Q34" s="16">
        <v>1</v>
      </c>
      <c r="R34" s="16">
        <v>1000148</v>
      </c>
      <c r="S34" s="16">
        <v>1</v>
      </c>
      <c r="T34" s="16">
        <v>1000148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8">
        <v>3000444</v>
      </c>
      <c r="AO34" s="18">
        <v>3</v>
      </c>
      <c r="AP34" s="18">
        <f>ROUNDDOWN(AN34,-3)</f>
        <v>3000000</v>
      </c>
      <c r="AQ34" s="18">
        <f ca="1">DATEDIF(M34,AS$1, "m")+1</f>
        <v>3</v>
      </c>
      <c r="AR34" s="18">
        <f ca="1">+H34*AQ34</f>
        <v>3000000</v>
      </c>
      <c r="AS34" s="19">
        <f ca="1">IF(H34=0,0,IF(AP34=(H34*6),"Smt-1 Lunas",IF(AP34=(H34*12),"SY2627 Lunas",AP34/AR34)))</f>
        <v>1</v>
      </c>
    </row>
    <row r="35" spans="1:45" ht="15" customHeight="1" x14ac:dyDescent="0.2">
      <c r="B35" s="13">
        <v>23</v>
      </c>
      <c r="C35" s="13" t="s">
        <v>174</v>
      </c>
      <c r="D35" s="13" t="s">
        <v>310</v>
      </c>
      <c r="E35" s="14">
        <v>34140074</v>
      </c>
      <c r="F35" s="15">
        <v>68605061696</v>
      </c>
      <c r="G35" s="15">
        <v>81280061696</v>
      </c>
      <c r="H35" s="16">
        <v>0</v>
      </c>
      <c r="I35" s="16">
        <v>0</v>
      </c>
      <c r="J35" s="16">
        <v>0</v>
      </c>
      <c r="K35" s="16">
        <v>0</v>
      </c>
      <c r="L35" s="13" t="s">
        <v>239</v>
      </c>
      <c r="M35" s="17">
        <v>0</v>
      </c>
      <c r="N35" s="16"/>
      <c r="O35" s="16"/>
      <c r="P35" s="16">
        <v>0</v>
      </c>
      <c r="Q35" s="16">
        <v>0</v>
      </c>
      <c r="R35" s="16">
        <v>0</v>
      </c>
      <c r="S35" s="16">
        <v>0</v>
      </c>
      <c r="T35" s="16">
        <v>3000074</v>
      </c>
      <c r="U35" s="16">
        <v>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8">
        <v>3000074</v>
      </c>
      <c r="AO35" s="18">
        <v>1</v>
      </c>
      <c r="AP35" s="18">
        <f>ROUNDDOWN(AN35,-3)</f>
        <v>3000000</v>
      </c>
      <c r="AQ35" s="18"/>
      <c r="AR35" s="18">
        <f>+H35*AQ35</f>
        <v>0</v>
      </c>
      <c r="AS35" s="19">
        <f>IF(H35=0,0,IF(AP35=(H35*6),"Smt-1 Lunas",IF(AP35=(H35*12),"SY2627 Lunas",AP35/AR35)))</f>
        <v>0</v>
      </c>
    </row>
    <row r="36" spans="1:45" ht="15" customHeight="1" x14ac:dyDescent="0.2">
      <c r="B36" s="13">
        <v>47</v>
      </c>
      <c r="C36" s="13" t="s">
        <v>177</v>
      </c>
      <c r="D36" s="13" t="s">
        <v>177</v>
      </c>
      <c r="E36" s="14">
        <v>34140141</v>
      </c>
      <c r="F36" s="15">
        <v>68605055482</v>
      </c>
      <c r="G36" s="15">
        <v>8121055481</v>
      </c>
      <c r="H36" s="16">
        <v>250000</v>
      </c>
      <c r="I36" s="16" t="s">
        <v>225</v>
      </c>
      <c r="J36" s="16">
        <v>0</v>
      </c>
      <c r="K36" s="16">
        <v>1</v>
      </c>
      <c r="L36" s="13" t="s">
        <v>239</v>
      </c>
      <c r="M36" s="17">
        <v>46204</v>
      </c>
      <c r="N36" s="16"/>
      <c r="O36" s="16"/>
      <c r="P36" s="16">
        <v>0</v>
      </c>
      <c r="Q36" s="16">
        <v>0</v>
      </c>
      <c r="R36" s="16">
        <v>0</v>
      </c>
      <c r="S36" s="16">
        <v>0</v>
      </c>
      <c r="T36" s="16">
        <v>3000000</v>
      </c>
      <c r="U36" s="16">
        <v>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8">
        <v>3000000</v>
      </c>
      <c r="AO36" s="18">
        <v>1</v>
      </c>
      <c r="AP36" s="18">
        <f>ROUNDDOWN(AN36,-3)</f>
        <v>3000000</v>
      </c>
      <c r="AQ36" s="18"/>
      <c r="AR36" s="18">
        <f>+H36*AQ36</f>
        <v>0</v>
      </c>
      <c r="AS36" s="19" t="str">
        <f>IF(H36=0,0,IF(AP36=(H36*6),"Smt-1 Lunas",IF(AP36=(H36*12),"SY2627 Lunas",AP36/AR36)))</f>
        <v>SY2627 Lunas</v>
      </c>
    </row>
    <row r="37" spans="1:45" ht="15" customHeight="1" x14ac:dyDescent="0.2">
      <c r="B37" s="13">
        <v>175</v>
      </c>
      <c r="C37" s="13" t="s">
        <v>155</v>
      </c>
      <c r="D37" s="13" t="s">
        <v>301</v>
      </c>
      <c r="E37" s="14">
        <v>34140449</v>
      </c>
      <c r="F37" s="15">
        <v>68605650088</v>
      </c>
      <c r="G37" s="15">
        <v>81389650088</v>
      </c>
      <c r="H37" s="16">
        <v>500000</v>
      </c>
      <c r="I37" s="16" t="s">
        <v>230</v>
      </c>
      <c r="J37" s="16">
        <v>1</v>
      </c>
      <c r="K37" s="16">
        <v>0</v>
      </c>
      <c r="L37" s="13" t="s">
        <v>239</v>
      </c>
      <c r="M37" s="17">
        <v>46204</v>
      </c>
      <c r="N37" s="16">
        <v>3000000</v>
      </c>
      <c r="O37" s="16">
        <v>1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8">
        <v>3000000</v>
      </c>
      <c r="AO37" s="18">
        <v>1</v>
      </c>
      <c r="AP37" s="18">
        <f>ROUNDDOWN(AN37,-3)</f>
        <v>3000000</v>
      </c>
      <c r="AQ37" s="18">
        <f ca="1">DATEDIF(M37,AS$1, "m")+1</f>
        <v>3</v>
      </c>
      <c r="AR37" s="18">
        <f ca="1">+H37*AQ37</f>
        <v>1500000</v>
      </c>
      <c r="AS37" s="19" t="str">
        <f>IF(H37=0,0,IF(AP37=(H37*6),"Smt-1 Lunas",IF(AP37=(H37*12),"SY2627 Lunas",AP37/AR37)))</f>
        <v>Smt-1 Lunas</v>
      </c>
    </row>
    <row r="38" spans="1:45" ht="15" customHeight="1" x14ac:dyDescent="0.2">
      <c r="B38" s="13">
        <v>41</v>
      </c>
      <c r="C38" s="13" t="s">
        <v>57</v>
      </c>
      <c r="D38" s="13" t="s">
        <v>57</v>
      </c>
      <c r="E38" s="14">
        <v>34140126</v>
      </c>
      <c r="F38" s="15">
        <v>68605619411</v>
      </c>
      <c r="G38" s="15">
        <v>8129619411</v>
      </c>
      <c r="H38" s="16">
        <v>1000000</v>
      </c>
      <c r="I38" s="16" t="s">
        <v>223</v>
      </c>
      <c r="J38" s="16">
        <v>2</v>
      </c>
      <c r="K38" s="16">
        <v>0</v>
      </c>
      <c r="L38" s="13" t="s">
        <v>239</v>
      </c>
      <c r="M38" s="17">
        <v>46204</v>
      </c>
      <c r="N38" s="16"/>
      <c r="O38" s="16"/>
      <c r="P38" s="16">
        <v>0</v>
      </c>
      <c r="Q38" s="16">
        <v>0</v>
      </c>
      <c r="R38" s="16">
        <v>1000126</v>
      </c>
      <c r="S38" s="16">
        <v>1</v>
      </c>
      <c r="T38" s="16">
        <v>1000126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8">
        <v>2000252</v>
      </c>
      <c r="AO38" s="18">
        <v>2</v>
      </c>
      <c r="AP38" s="18">
        <f>ROUNDDOWN(AN38,-3)</f>
        <v>2000000</v>
      </c>
      <c r="AQ38" s="18">
        <f ca="1">DATEDIF(M38,AS$1, "m")+1</f>
        <v>3</v>
      </c>
      <c r="AR38" s="18">
        <f ca="1">+H38*AQ38</f>
        <v>3000000</v>
      </c>
      <c r="AS38" s="19">
        <f ca="1">IF(H38=0,0,IF(AP38=(H38*6),"Smt-1 Lunas",IF(AP38=(H38*12),"SY2627 Lunas",AP38/AR38)))</f>
        <v>0.66666666666666663</v>
      </c>
    </row>
    <row r="39" spans="1:45" ht="15" customHeight="1" x14ac:dyDescent="0.2">
      <c r="B39" s="13">
        <v>158</v>
      </c>
      <c r="C39" s="13" t="s">
        <v>138</v>
      </c>
      <c r="D39" s="13" t="s">
        <v>138</v>
      </c>
      <c r="E39" s="14">
        <v>34140432</v>
      </c>
      <c r="F39" s="15">
        <v>68605770800</v>
      </c>
      <c r="G39" s="15">
        <v>87884770800</v>
      </c>
      <c r="H39" s="16">
        <v>500000</v>
      </c>
      <c r="I39" s="16" t="s">
        <v>223</v>
      </c>
      <c r="J39" s="16">
        <v>1</v>
      </c>
      <c r="K39" s="16">
        <v>0</v>
      </c>
      <c r="L39" s="13" t="s">
        <v>239</v>
      </c>
      <c r="M39" s="17">
        <v>46174</v>
      </c>
      <c r="N39" s="16">
        <v>500000</v>
      </c>
      <c r="O39" s="16">
        <v>1</v>
      </c>
      <c r="P39" s="16">
        <v>500000</v>
      </c>
      <c r="Q39" s="16">
        <v>1</v>
      </c>
      <c r="R39" s="16">
        <v>500000</v>
      </c>
      <c r="S39" s="16">
        <v>1</v>
      </c>
      <c r="T39" s="16">
        <v>500000</v>
      </c>
      <c r="U39" s="16">
        <v>1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8">
        <v>2000000</v>
      </c>
      <c r="AO39" s="18">
        <v>4</v>
      </c>
      <c r="AP39" s="18">
        <f>ROUNDDOWN(AN39,-3)</f>
        <v>2000000</v>
      </c>
      <c r="AQ39" s="18">
        <f ca="1">DATEDIF(M39,AS$1, "m")+1</f>
        <v>4</v>
      </c>
      <c r="AR39" s="18">
        <f ca="1">+H39*AQ39</f>
        <v>2000000</v>
      </c>
      <c r="AS39" s="19">
        <f ca="1">IF(H39=0,0,IF(AP39=(H39*6),"Smt-1 Lunas",IF(AP39=(H39*12),"SY2627 Lunas",AP39/AR39)))</f>
        <v>1</v>
      </c>
    </row>
    <row r="40" spans="1:45" ht="15" customHeight="1" x14ac:dyDescent="0.2">
      <c r="B40" s="13">
        <v>40</v>
      </c>
      <c r="C40" s="13" t="s">
        <v>56</v>
      </c>
      <c r="D40" s="13" t="s">
        <v>56</v>
      </c>
      <c r="E40" s="14">
        <v>34140123</v>
      </c>
      <c r="F40" s="15">
        <v>68605301099</v>
      </c>
      <c r="G40" s="15">
        <v>87873301099</v>
      </c>
      <c r="H40" s="16">
        <v>500000</v>
      </c>
      <c r="I40" s="16" t="s">
        <v>223</v>
      </c>
      <c r="J40" s="16">
        <v>0</v>
      </c>
      <c r="K40" s="16">
        <v>2</v>
      </c>
      <c r="L40" s="13" t="s">
        <v>239</v>
      </c>
      <c r="M40" s="17">
        <v>46204</v>
      </c>
      <c r="N40" s="16"/>
      <c r="O40" s="16"/>
      <c r="P40" s="16">
        <v>500123</v>
      </c>
      <c r="Q40" s="16">
        <v>1</v>
      </c>
      <c r="R40" s="16">
        <v>500123</v>
      </c>
      <c r="S40" s="16">
        <v>1</v>
      </c>
      <c r="T40" s="16">
        <v>500123</v>
      </c>
      <c r="U40" s="16">
        <v>1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8">
        <v>1500369</v>
      </c>
      <c r="AO40" s="18">
        <v>3</v>
      </c>
      <c r="AP40" s="18">
        <f>ROUNDDOWN(AN40,-3)</f>
        <v>1500000</v>
      </c>
      <c r="AQ40" s="18">
        <f ca="1">DATEDIF(M40,AS$1, "m")+1</f>
        <v>3</v>
      </c>
      <c r="AR40" s="18">
        <f ca="1">+H40*AQ40</f>
        <v>1500000</v>
      </c>
      <c r="AS40" s="19">
        <f ca="1">IF(H40=0,0,IF(AP40=(H40*6),"Smt-1 Lunas",IF(AP40=(H40*12),"SY2627 Lunas",AP40/AR40)))</f>
        <v>1</v>
      </c>
    </row>
    <row r="41" spans="1:45" ht="15" customHeight="1" x14ac:dyDescent="0.2">
      <c r="B41" s="13">
        <v>29</v>
      </c>
      <c r="C41" s="13" t="s">
        <v>49</v>
      </c>
      <c r="D41" s="13" t="s">
        <v>238</v>
      </c>
      <c r="E41" s="14">
        <v>34140093</v>
      </c>
      <c r="F41" s="15">
        <v>68605646937</v>
      </c>
      <c r="G41" s="15">
        <v>85813646937</v>
      </c>
      <c r="H41" s="16">
        <v>500000</v>
      </c>
      <c r="I41" s="16" t="s">
        <v>223</v>
      </c>
      <c r="J41" s="16">
        <v>0</v>
      </c>
      <c r="K41" s="16">
        <v>2</v>
      </c>
      <c r="L41" s="13" t="s">
        <v>239</v>
      </c>
      <c r="M41" s="17">
        <v>46204</v>
      </c>
      <c r="N41" s="16"/>
      <c r="O41" s="16"/>
      <c r="P41" s="16">
        <v>500093</v>
      </c>
      <c r="Q41" s="16">
        <v>1</v>
      </c>
      <c r="R41" s="16">
        <v>0</v>
      </c>
      <c r="S41" s="16">
        <v>0</v>
      </c>
      <c r="T41" s="16">
        <v>1000186</v>
      </c>
      <c r="U41" s="16">
        <v>2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8">
        <v>1500279</v>
      </c>
      <c r="AO41" s="18">
        <v>3</v>
      </c>
      <c r="AP41" s="18">
        <f>ROUNDDOWN(AN41,-3)</f>
        <v>1500000</v>
      </c>
      <c r="AQ41" s="18">
        <f ca="1">DATEDIF(M41,AS$1, "m")+1</f>
        <v>3</v>
      </c>
      <c r="AR41" s="18">
        <f ca="1">+H41*AQ41</f>
        <v>1500000</v>
      </c>
      <c r="AS41" s="19">
        <f ca="1">IF(H41=0,0,IF(AP41=(H41*6),"Smt-1 Lunas",IF(AP41=(H41*12),"SY2627 Lunas",AP41/AR41)))</f>
        <v>1</v>
      </c>
    </row>
    <row r="42" spans="1:45" ht="15" customHeight="1" x14ac:dyDescent="0.2">
      <c r="A42" s="6"/>
      <c r="B42" s="13">
        <v>163</v>
      </c>
      <c r="C42" s="13" t="s">
        <v>143</v>
      </c>
      <c r="D42" s="13" t="s">
        <v>143</v>
      </c>
      <c r="E42" s="14">
        <v>34140437</v>
      </c>
      <c r="F42" s="15">
        <v>68605918954</v>
      </c>
      <c r="G42" s="15">
        <v>8161918954</v>
      </c>
      <c r="H42" s="16">
        <v>250000</v>
      </c>
      <c r="I42" s="16" t="s">
        <v>223</v>
      </c>
      <c r="J42" s="16">
        <v>0</v>
      </c>
      <c r="K42" s="16">
        <v>1</v>
      </c>
      <c r="L42" s="13" t="s">
        <v>239</v>
      </c>
      <c r="M42" s="17">
        <v>46174</v>
      </c>
      <c r="N42" s="16">
        <v>1500000</v>
      </c>
      <c r="O42" s="16">
        <v>1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8">
        <v>1500000</v>
      </c>
      <c r="AO42" s="18">
        <v>1</v>
      </c>
      <c r="AP42" s="18">
        <f>ROUNDDOWN(AN42,-3)</f>
        <v>1500000</v>
      </c>
      <c r="AQ42" s="18">
        <f ca="1">DATEDIF(M42,AS$1, "m")+1</f>
        <v>4</v>
      </c>
      <c r="AR42" s="18">
        <f ca="1">+H42*AQ42</f>
        <v>1000000</v>
      </c>
      <c r="AS42" s="19" t="str">
        <f>IF(H42=0,0,IF(AP42=(H42*6),"Smt-1 Lunas",IF(AP42=(H42*12),"SY2627 Lunas",AP42/AR42)))</f>
        <v>Smt-1 Lunas</v>
      </c>
    </row>
    <row r="43" spans="1:45" ht="15" customHeight="1" x14ac:dyDescent="0.2">
      <c r="B43" s="13">
        <v>167</v>
      </c>
      <c r="C43" s="13" t="s">
        <v>147</v>
      </c>
      <c r="D43" s="13" t="s">
        <v>147</v>
      </c>
      <c r="E43" s="14">
        <v>34140441</v>
      </c>
      <c r="F43" s="15">
        <v>68605421118</v>
      </c>
      <c r="G43" s="15">
        <v>895343421118</v>
      </c>
      <c r="H43" s="16">
        <v>500000</v>
      </c>
      <c r="I43" s="16" t="s">
        <v>223</v>
      </c>
      <c r="J43" s="16">
        <v>0</v>
      </c>
      <c r="K43" s="16">
        <v>2</v>
      </c>
      <c r="L43" s="13" t="s">
        <v>239</v>
      </c>
      <c r="M43" s="17">
        <v>46174</v>
      </c>
      <c r="N43" s="16">
        <v>500000</v>
      </c>
      <c r="O43" s="16">
        <v>1</v>
      </c>
      <c r="P43" s="16">
        <v>500000</v>
      </c>
      <c r="Q43" s="16">
        <v>1</v>
      </c>
      <c r="R43" s="16">
        <v>500000</v>
      </c>
      <c r="S43" s="16">
        <v>1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8">
        <v>1500000</v>
      </c>
      <c r="AO43" s="18">
        <v>3</v>
      </c>
      <c r="AP43" s="18">
        <f>ROUNDDOWN(AN43,-3)</f>
        <v>1500000</v>
      </c>
      <c r="AQ43" s="18">
        <f ca="1">DATEDIF(M43,AS$1, "m")+1</f>
        <v>4</v>
      </c>
      <c r="AR43" s="18">
        <f ca="1">+H43*AQ43</f>
        <v>2000000</v>
      </c>
      <c r="AS43" s="19">
        <f ca="1">IF(H43=0,0,IF(AP43=(H43*6),"Smt-1 Lunas",IF(AP43=(H43*12),"SY2627 Lunas",AP43/AR43)))</f>
        <v>0.75</v>
      </c>
    </row>
    <row r="44" spans="1:45" ht="15" customHeight="1" x14ac:dyDescent="0.2">
      <c r="B44" s="13">
        <v>44</v>
      </c>
      <c r="C44" s="13" t="s">
        <v>59</v>
      </c>
      <c r="D44" s="13" t="s">
        <v>245</v>
      </c>
      <c r="E44" s="14">
        <v>34140133</v>
      </c>
      <c r="F44" s="15">
        <v>68605484711</v>
      </c>
      <c r="G44" s="15">
        <v>8161484711</v>
      </c>
      <c r="H44" s="16">
        <v>500000</v>
      </c>
      <c r="I44" s="16" t="s">
        <v>223</v>
      </c>
      <c r="J44" s="16">
        <v>0</v>
      </c>
      <c r="K44" s="16">
        <v>2</v>
      </c>
      <c r="L44" s="13" t="s">
        <v>239</v>
      </c>
      <c r="M44" s="17">
        <v>46204</v>
      </c>
      <c r="N44" s="16"/>
      <c r="O44" s="16"/>
      <c r="P44" s="16">
        <v>500133</v>
      </c>
      <c r="Q44" s="16">
        <v>1</v>
      </c>
      <c r="R44" s="16">
        <v>500133</v>
      </c>
      <c r="S44" s="16">
        <v>1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8">
        <v>1000266</v>
      </c>
      <c r="AO44" s="18">
        <v>2</v>
      </c>
      <c r="AP44" s="18">
        <f>ROUNDDOWN(AN44,-3)</f>
        <v>1000000</v>
      </c>
      <c r="AQ44" s="18">
        <f ca="1">DATEDIF(M44,AS$1, "m")+1</f>
        <v>3</v>
      </c>
      <c r="AR44" s="18">
        <f ca="1">+H44*AQ44</f>
        <v>1500000</v>
      </c>
      <c r="AS44" s="19">
        <f ca="1">IF(H44=0,0,IF(AP44=(H44*6),"Smt-1 Lunas",IF(AP44=(H44*12),"SY2627 Lunas",AP44/AR44)))</f>
        <v>0.66666666666666663</v>
      </c>
    </row>
    <row r="45" spans="1:45" ht="15" customHeight="1" x14ac:dyDescent="0.2">
      <c r="B45" s="13">
        <v>153</v>
      </c>
      <c r="C45" s="13" t="s">
        <v>133</v>
      </c>
      <c r="D45" s="13" t="s">
        <v>133</v>
      </c>
      <c r="E45" s="14">
        <v>34140427</v>
      </c>
      <c r="F45" s="15">
        <v>68605086583</v>
      </c>
      <c r="G45" s="15">
        <v>81381086583</v>
      </c>
      <c r="H45" s="16">
        <v>250000</v>
      </c>
      <c r="I45" s="16" t="s">
        <v>223</v>
      </c>
      <c r="J45" s="16">
        <v>0</v>
      </c>
      <c r="K45" s="16">
        <v>1</v>
      </c>
      <c r="L45" s="13" t="s">
        <v>239</v>
      </c>
      <c r="M45" s="17">
        <v>46204</v>
      </c>
      <c r="N45" s="16">
        <v>0</v>
      </c>
      <c r="O45" s="16">
        <v>0</v>
      </c>
      <c r="P45" s="16">
        <v>250000</v>
      </c>
      <c r="Q45" s="16">
        <v>1</v>
      </c>
      <c r="R45" s="16">
        <v>250000</v>
      </c>
      <c r="S45" s="16">
        <v>1</v>
      </c>
      <c r="T45" s="16">
        <v>250000</v>
      </c>
      <c r="U45" s="16">
        <v>1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8">
        <v>750000</v>
      </c>
      <c r="AO45" s="18">
        <v>3</v>
      </c>
      <c r="AP45" s="18">
        <f>ROUNDDOWN(AN45,-3)</f>
        <v>750000</v>
      </c>
      <c r="AQ45" s="18">
        <f ca="1">DATEDIF(M45,AS$1, "m")+1</f>
        <v>3</v>
      </c>
      <c r="AR45" s="18">
        <f ca="1">+H45*AQ45</f>
        <v>750000</v>
      </c>
      <c r="AS45" s="19">
        <f ca="1">IF(H45=0,0,IF(AP45=(H45*6),"Smt-1 Lunas",IF(AP45=(H45*12),"SY2627 Lunas",AP45/AR45)))</f>
        <v>1</v>
      </c>
    </row>
    <row r="46" spans="1:45" ht="15" customHeight="1" x14ac:dyDescent="0.2">
      <c r="B46" s="13">
        <v>173</v>
      </c>
      <c r="C46" s="13" t="s">
        <v>153</v>
      </c>
      <c r="D46" s="13" t="s">
        <v>299</v>
      </c>
      <c r="E46" s="14">
        <v>34140447</v>
      </c>
      <c r="F46" s="15">
        <v>68605035630</v>
      </c>
      <c r="G46" s="15">
        <v>81310035630</v>
      </c>
      <c r="H46" s="16">
        <v>250000</v>
      </c>
      <c r="I46" s="16" t="s">
        <v>223</v>
      </c>
      <c r="J46" s="16">
        <v>0</v>
      </c>
      <c r="K46" s="16">
        <v>1</v>
      </c>
      <c r="L46" s="13" t="s">
        <v>239</v>
      </c>
      <c r="M46" s="17">
        <v>46204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750000</v>
      </c>
      <c r="U46" s="16">
        <v>1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8">
        <v>750000</v>
      </c>
      <c r="AO46" s="18">
        <v>1</v>
      </c>
      <c r="AP46" s="18">
        <f>ROUNDDOWN(AN46,-3)</f>
        <v>750000</v>
      </c>
      <c r="AQ46" s="18">
        <f ca="1">DATEDIF(M46,AS$1, "m")+1</f>
        <v>3</v>
      </c>
      <c r="AR46" s="18">
        <f ca="1">+H46*AQ46</f>
        <v>750000</v>
      </c>
      <c r="AS46" s="19">
        <f ca="1">IF(H46=0,0,IF(AP46=(H46*6),"Smt-1 Lunas",IF(AP46=(H46*12),"SY2627 Lunas",AP46/AR46)))</f>
        <v>1</v>
      </c>
    </row>
    <row r="47" spans="1:45" ht="15" customHeight="1" x14ac:dyDescent="0.2">
      <c r="B47" s="13">
        <v>61</v>
      </c>
      <c r="C47" s="13" t="s">
        <v>73</v>
      </c>
      <c r="D47" s="13" t="s">
        <v>256</v>
      </c>
      <c r="E47" s="14">
        <v>34140172</v>
      </c>
      <c r="F47" s="15">
        <v>68605500080</v>
      </c>
      <c r="G47" s="15">
        <v>85811500080</v>
      </c>
      <c r="H47" s="16">
        <v>250000</v>
      </c>
      <c r="I47" s="16" t="s">
        <v>223</v>
      </c>
      <c r="J47" s="16">
        <v>0</v>
      </c>
      <c r="K47" s="16">
        <v>1</v>
      </c>
      <c r="L47" s="13" t="s">
        <v>239</v>
      </c>
      <c r="M47" s="17">
        <v>46204</v>
      </c>
      <c r="N47" s="16"/>
      <c r="O47" s="16"/>
      <c r="P47" s="16">
        <v>500000</v>
      </c>
      <c r="Q47" s="16">
        <v>2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8">
        <v>500000</v>
      </c>
      <c r="AO47" s="18">
        <v>2</v>
      </c>
      <c r="AP47" s="18">
        <f>ROUNDDOWN(AN47,-3)</f>
        <v>500000</v>
      </c>
      <c r="AQ47" s="18">
        <f ca="1">DATEDIF(M47,AS$1, "m")+1</f>
        <v>3</v>
      </c>
      <c r="AR47" s="18">
        <f ca="1">+H47*AQ47</f>
        <v>750000</v>
      </c>
      <c r="AS47" s="19">
        <f ca="1">IF(H47=0,0,IF(AP47=(H47*6),"Smt-1 Lunas",IF(AP47=(H47*12),"SY2627 Lunas",AP47/AR47)))</f>
        <v>0.66666666666666663</v>
      </c>
    </row>
    <row r="48" spans="1:45" ht="15" customHeight="1" x14ac:dyDescent="0.2">
      <c r="B48" s="13">
        <v>178</v>
      </c>
      <c r="C48" s="13" t="s">
        <v>158</v>
      </c>
      <c r="D48" s="13" t="s">
        <v>158</v>
      </c>
      <c r="E48" s="14">
        <v>34140452</v>
      </c>
      <c r="F48" s="15">
        <v>68605743107</v>
      </c>
      <c r="G48" s="15">
        <v>8119743107</v>
      </c>
      <c r="H48" s="16">
        <v>250000</v>
      </c>
      <c r="I48" s="16" t="s">
        <v>223</v>
      </c>
      <c r="J48" s="16">
        <v>0</v>
      </c>
      <c r="K48" s="16">
        <v>1</v>
      </c>
      <c r="L48" s="13" t="s">
        <v>239</v>
      </c>
      <c r="M48" s="17">
        <v>46235</v>
      </c>
      <c r="N48" s="16">
        <v>0</v>
      </c>
      <c r="O48" s="16">
        <v>0</v>
      </c>
      <c r="P48" s="16">
        <v>0</v>
      </c>
      <c r="Q48" s="16">
        <v>0</v>
      </c>
      <c r="R48" s="16">
        <v>250000</v>
      </c>
      <c r="S48" s="16">
        <v>1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8">
        <v>250000</v>
      </c>
      <c r="AO48" s="18">
        <v>1</v>
      </c>
      <c r="AP48" s="18">
        <f>ROUNDDOWN(AN48,-3)</f>
        <v>250000</v>
      </c>
      <c r="AQ48" s="18">
        <f ca="1">DATEDIF(M48,AS$1, "m")+1</f>
        <v>2</v>
      </c>
      <c r="AR48" s="18">
        <f ca="1">+H48*AQ48</f>
        <v>500000</v>
      </c>
      <c r="AS48" s="19">
        <f ca="1">IF(H48=0,0,IF(AP48=(H48*6),"Smt-1 Lunas",IF(AP48=(H48*12),"SY2627 Lunas",AP48/AR48)))</f>
        <v>0.5</v>
      </c>
    </row>
    <row r="49" spans="1:45" ht="15" customHeight="1" x14ac:dyDescent="0.2">
      <c r="A49" s="6"/>
      <c r="B49" s="13">
        <v>3</v>
      </c>
      <c r="C49" s="13" t="s">
        <v>171</v>
      </c>
      <c r="D49" s="13" t="s">
        <v>171</v>
      </c>
      <c r="E49" s="14">
        <v>34140014</v>
      </c>
      <c r="F49" s="15">
        <v>68605800159</v>
      </c>
      <c r="G49" s="15">
        <v>87885800159</v>
      </c>
      <c r="H49" s="16">
        <v>0</v>
      </c>
      <c r="I49" s="16">
        <v>0</v>
      </c>
      <c r="J49" s="16">
        <v>0</v>
      </c>
      <c r="K49" s="16">
        <v>0</v>
      </c>
      <c r="L49" s="13" t="s">
        <v>239</v>
      </c>
      <c r="M49" s="17">
        <v>0</v>
      </c>
      <c r="N49" s="16"/>
      <c r="O49" s="16"/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8">
        <v>0</v>
      </c>
      <c r="AO49" s="18">
        <v>0</v>
      </c>
      <c r="AP49" s="18">
        <f>ROUNDDOWN(AN49,-3)</f>
        <v>0</v>
      </c>
      <c r="AQ49" s="18"/>
      <c r="AR49" s="18">
        <f>+H49*AQ49</f>
        <v>0</v>
      </c>
      <c r="AS49" s="19">
        <f>IF(H49=0,0,IF(AP49=(H49*6),"Smt-1 Lunas",IF(AP49=(H49*12),"SY2627 Lunas",AP49/AR49)))</f>
        <v>0</v>
      </c>
    </row>
    <row r="50" spans="1:45" ht="15" customHeight="1" x14ac:dyDescent="0.2">
      <c r="A50" s="6"/>
      <c r="B50" s="13">
        <v>8</v>
      </c>
      <c r="C50" s="13" t="s">
        <v>172</v>
      </c>
      <c r="D50" s="13" t="s">
        <v>309</v>
      </c>
      <c r="E50" s="14">
        <v>34140028</v>
      </c>
      <c r="F50" s="15">
        <v>68605849110</v>
      </c>
      <c r="G50" s="15">
        <v>8111849110</v>
      </c>
      <c r="H50" s="16">
        <v>1000000</v>
      </c>
      <c r="I50" s="16" t="s">
        <v>223</v>
      </c>
      <c r="J50" s="16">
        <v>2</v>
      </c>
      <c r="K50" s="16">
        <v>0</v>
      </c>
      <c r="L50" s="13" t="s">
        <v>239</v>
      </c>
      <c r="M50" s="17">
        <v>46235</v>
      </c>
      <c r="N50" s="16"/>
      <c r="O50" s="16"/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8">
        <v>0</v>
      </c>
      <c r="AO50" s="18">
        <v>0</v>
      </c>
      <c r="AP50" s="18">
        <f>ROUNDDOWN(AN50,-3)</f>
        <v>0</v>
      </c>
      <c r="AQ50" s="18"/>
      <c r="AR50" s="18">
        <f>+H50*AQ50</f>
        <v>0</v>
      </c>
      <c r="AS50" s="19" t="e">
        <f>IF(H50=0,0,IF(AP50=(H50*6),"Smt-1 Lunas",IF(AP50=(H50*12),"SY2627 Lunas",AP50/AR50)))</f>
        <v>#DIV/0!</v>
      </c>
    </row>
    <row r="51" spans="1:45" ht="15" customHeight="1" x14ac:dyDescent="0.2">
      <c r="A51" s="6"/>
      <c r="B51" s="13">
        <v>34</v>
      </c>
      <c r="C51" s="13" t="s">
        <v>175</v>
      </c>
      <c r="D51" s="13" t="s">
        <v>311</v>
      </c>
      <c r="E51" s="14">
        <v>34140111</v>
      </c>
      <c r="F51" s="15">
        <v>68605975691</v>
      </c>
      <c r="G51" s="15">
        <v>811975691</v>
      </c>
      <c r="H51" s="16">
        <v>0</v>
      </c>
      <c r="I51" s="16">
        <v>0</v>
      </c>
      <c r="J51" s="16">
        <v>0</v>
      </c>
      <c r="K51" s="16">
        <v>0</v>
      </c>
      <c r="L51" s="13" t="s">
        <v>239</v>
      </c>
      <c r="M51" s="17">
        <v>0</v>
      </c>
      <c r="N51" s="16"/>
      <c r="O51" s="16"/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8">
        <v>0</v>
      </c>
      <c r="AO51" s="18">
        <v>0</v>
      </c>
      <c r="AP51" s="18">
        <f>ROUNDDOWN(AN51,-3)</f>
        <v>0</v>
      </c>
      <c r="AQ51" s="18"/>
      <c r="AR51" s="18">
        <f>+H51*AQ51</f>
        <v>0</v>
      </c>
      <c r="AS51" s="19">
        <f>IF(H51=0,0,IF(AP51=(H51*6),"Smt-1 Lunas",IF(AP51=(H51*12),"SY2627 Lunas",AP51/AR51)))</f>
        <v>0</v>
      </c>
    </row>
    <row r="52" spans="1:45" ht="15" customHeight="1" x14ac:dyDescent="0.2">
      <c r="A52" s="6"/>
      <c r="B52" s="13">
        <v>37</v>
      </c>
      <c r="C52" s="13" t="s">
        <v>176</v>
      </c>
      <c r="D52" s="13" t="s">
        <v>312</v>
      </c>
      <c r="E52" s="14">
        <v>34140116</v>
      </c>
      <c r="F52" s="15">
        <v>68605465515</v>
      </c>
      <c r="G52" s="15">
        <v>8111465515</v>
      </c>
      <c r="H52" s="16">
        <v>500000</v>
      </c>
      <c r="I52" s="16" t="s">
        <v>230</v>
      </c>
      <c r="J52" s="16">
        <v>0</v>
      </c>
      <c r="K52" s="16">
        <v>2</v>
      </c>
      <c r="L52" s="13" t="s">
        <v>239</v>
      </c>
      <c r="M52" s="17">
        <v>46204</v>
      </c>
      <c r="N52" s="16"/>
      <c r="O52" s="16"/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8">
        <v>0</v>
      </c>
      <c r="AO52" s="18">
        <v>0</v>
      </c>
      <c r="AP52" s="18">
        <f>ROUNDDOWN(AN52,-3)</f>
        <v>0</v>
      </c>
      <c r="AQ52" s="18"/>
      <c r="AR52" s="18">
        <f>+H52*AQ52</f>
        <v>0</v>
      </c>
      <c r="AS52" s="19" t="e">
        <f>IF(H52=0,0,IF(AP52=(H52*6),"Smt-1 Lunas",IF(AP52=(H52*12),"SY2627 Lunas",AP52/AR52)))</f>
        <v>#DIV/0!</v>
      </c>
    </row>
    <row r="53" spans="1:45" ht="15" customHeight="1" x14ac:dyDescent="0.2">
      <c r="A53" s="6"/>
      <c r="B53" s="13">
        <v>58</v>
      </c>
      <c r="C53" s="13" t="s">
        <v>70</v>
      </c>
      <c r="D53" s="13" t="s">
        <v>70</v>
      </c>
      <c r="E53" s="14">
        <v>34140158</v>
      </c>
      <c r="F53" s="15">
        <v>68605361485</v>
      </c>
      <c r="G53" s="15">
        <v>81224361485</v>
      </c>
      <c r="H53" s="16">
        <v>750000</v>
      </c>
      <c r="I53" s="16" t="s">
        <v>230</v>
      </c>
      <c r="J53" s="16">
        <v>1</v>
      </c>
      <c r="K53" s="16">
        <v>1</v>
      </c>
      <c r="L53" s="13" t="s">
        <v>239</v>
      </c>
      <c r="M53" s="17">
        <v>46235</v>
      </c>
      <c r="N53" s="16"/>
      <c r="O53" s="16"/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8">
        <v>0</v>
      </c>
      <c r="AO53" s="18">
        <v>0</v>
      </c>
      <c r="AP53" s="18">
        <f>ROUNDDOWN(AN53,-3)</f>
        <v>0</v>
      </c>
      <c r="AQ53" s="18">
        <f ca="1">DATEDIF(M53,AS$1, "m")+1</f>
        <v>2</v>
      </c>
      <c r="AR53" s="18">
        <f ca="1">+H53*AQ53</f>
        <v>1500000</v>
      </c>
      <c r="AS53" s="19">
        <f ca="1">IF(H53=0,0,IF(AP53=(H53*6),"Smt-1 Lunas",IF(AP53=(H53*12),"SY2627 Lunas",AP53/AR53)))</f>
        <v>0</v>
      </c>
    </row>
    <row r="54" spans="1:45" ht="15" customHeight="1" x14ac:dyDescent="0.2">
      <c r="A54" s="6"/>
      <c r="B54" s="13">
        <v>70</v>
      </c>
      <c r="C54" s="13" t="s">
        <v>179</v>
      </c>
      <c r="D54" s="13" t="s">
        <v>179</v>
      </c>
      <c r="E54" s="14">
        <v>34140192</v>
      </c>
      <c r="F54" s="15">
        <v>68605164064</v>
      </c>
      <c r="G54" s="15">
        <v>81310164064</v>
      </c>
      <c r="H54" s="16">
        <v>0</v>
      </c>
      <c r="I54" s="16">
        <v>0</v>
      </c>
      <c r="J54" s="16">
        <v>0</v>
      </c>
      <c r="K54" s="16">
        <v>0</v>
      </c>
      <c r="L54" s="13" t="s">
        <v>239</v>
      </c>
      <c r="M54" s="17">
        <v>0</v>
      </c>
      <c r="N54" s="16"/>
      <c r="O54" s="16"/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8">
        <v>0</v>
      </c>
      <c r="AO54" s="18">
        <v>0</v>
      </c>
      <c r="AP54" s="18">
        <f>ROUNDDOWN(AN54,-3)</f>
        <v>0</v>
      </c>
      <c r="AQ54" s="18"/>
      <c r="AR54" s="18">
        <f>+H54*AQ54</f>
        <v>0</v>
      </c>
      <c r="AS54" s="19">
        <f>IF(H54=0,0,IF(AP54=(H54*6),"Smt-1 Lunas",IF(AP54=(H54*12),"SY2627 Lunas",AP54/AR54)))</f>
        <v>0</v>
      </c>
    </row>
    <row r="55" spans="1:45" ht="15" customHeight="1" x14ac:dyDescent="0.2">
      <c r="A55" s="6"/>
      <c r="B55" s="13">
        <v>75</v>
      </c>
      <c r="C55" s="13" t="s">
        <v>180</v>
      </c>
      <c r="D55" s="13" t="s">
        <v>314</v>
      </c>
      <c r="E55" s="14">
        <v>34140204</v>
      </c>
      <c r="F55" s="15">
        <v>68605118820</v>
      </c>
      <c r="G55" s="15">
        <v>8118118820</v>
      </c>
      <c r="H55" s="16">
        <v>0</v>
      </c>
      <c r="I55" s="16">
        <v>0</v>
      </c>
      <c r="J55" s="16">
        <v>0</v>
      </c>
      <c r="K55" s="16">
        <v>0</v>
      </c>
      <c r="L55" s="13" t="s">
        <v>239</v>
      </c>
      <c r="M55" s="17">
        <v>0</v>
      </c>
      <c r="N55" s="16"/>
      <c r="O55" s="16"/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8">
        <v>0</v>
      </c>
      <c r="AO55" s="18">
        <v>0</v>
      </c>
      <c r="AP55" s="18">
        <f>ROUNDDOWN(AN55,-3)</f>
        <v>0</v>
      </c>
      <c r="AQ55" s="18"/>
      <c r="AR55" s="18">
        <f>+H55*AQ55</f>
        <v>0</v>
      </c>
      <c r="AS55" s="19">
        <f>IF(H55=0,0,IF(AP55=(H55*6),"Smt-1 Lunas",IF(AP55=(H55*12),"SY2627 Lunas",AP55/AR55)))</f>
        <v>0</v>
      </c>
    </row>
    <row r="56" spans="1:45" ht="15" customHeight="1" x14ac:dyDescent="0.2">
      <c r="A56" s="6"/>
      <c r="B56" s="13">
        <v>108</v>
      </c>
      <c r="C56" s="13" t="s">
        <v>181</v>
      </c>
      <c r="D56" s="13" t="s">
        <v>181</v>
      </c>
      <c r="E56" s="14">
        <v>34140346</v>
      </c>
      <c r="F56" s="15">
        <v>68605112626</v>
      </c>
      <c r="G56" s="15">
        <v>81225112626</v>
      </c>
      <c r="H56" s="16">
        <v>0</v>
      </c>
      <c r="I56" s="16">
        <v>0</v>
      </c>
      <c r="J56" s="16">
        <v>0</v>
      </c>
      <c r="K56" s="16">
        <v>0</v>
      </c>
      <c r="L56" s="13" t="s">
        <v>239</v>
      </c>
      <c r="M56" s="17">
        <v>0</v>
      </c>
      <c r="N56" s="16"/>
      <c r="O56" s="16"/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8">
        <v>0</v>
      </c>
      <c r="AO56" s="18">
        <v>0</v>
      </c>
      <c r="AP56" s="18">
        <f>ROUNDDOWN(AN56,-3)</f>
        <v>0</v>
      </c>
      <c r="AQ56" s="18"/>
      <c r="AR56" s="18">
        <f>+H56*AQ56</f>
        <v>0</v>
      </c>
      <c r="AS56" s="19">
        <f>IF(H56=0,0,IF(AP56=(H56*6),"Smt-1 Lunas",IF(AP56=(H56*12),"SY2627 Lunas",AP56/AR56)))</f>
        <v>0</v>
      </c>
    </row>
    <row r="57" spans="1:45" ht="15" customHeight="1" x14ac:dyDescent="0.2">
      <c r="B57" s="13">
        <v>139</v>
      </c>
      <c r="C57" s="13" t="s">
        <v>124</v>
      </c>
      <c r="D57" s="13" t="s">
        <v>124</v>
      </c>
      <c r="E57" s="14">
        <v>34140412</v>
      </c>
      <c r="F57" s="15">
        <v>68605323141</v>
      </c>
      <c r="G57" s="15">
        <v>81285323141</v>
      </c>
      <c r="H57" s="16">
        <v>750000</v>
      </c>
      <c r="I57" s="16" t="s">
        <v>225</v>
      </c>
      <c r="J57" s="16">
        <v>1</v>
      </c>
      <c r="K57" s="16">
        <v>1</v>
      </c>
      <c r="L57" s="13" t="s">
        <v>259</v>
      </c>
      <c r="M57" s="17">
        <v>46204</v>
      </c>
      <c r="N57" s="16"/>
      <c r="O57" s="16"/>
      <c r="P57" s="16">
        <v>0</v>
      </c>
      <c r="Q57" s="16">
        <v>0</v>
      </c>
      <c r="R57" s="16">
        <v>0</v>
      </c>
      <c r="S57" s="16">
        <v>0</v>
      </c>
      <c r="T57" s="16">
        <v>9000000</v>
      </c>
      <c r="U57" s="16">
        <v>2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8">
        <v>9000000</v>
      </c>
      <c r="AO57" s="18">
        <v>2</v>
      </c>
      <c r="AP57" s="18">
        <f>ROUNDDOWN(AN57,-3)</f>
        <v>9000000</v>
      </c>
      <c r="AQ57" s="18">
        <f ca="1">DATEDIF(M57,AS$1, "m")+1</f>
        <v>3</v>
      </c>
      <c r="AR57" s="18">
        <f ca="1">+H57*AQ57</f>
        <v>2250000</v>
      </c>
      <c r="AS57" s="19" t="str">
        <f>IF(H57=0,0,IF(AP57=(H57*6),"Smt-1 Lunas",IF(AP57=(H57*12),"SY2627 Lunas",AP57/AR57)))</f>
        <v>SY2627 Lunas</v>
      </c>
    </row>
    <row r="58" spans="1:45" ht="15" customHeight="1" x14ac:dyDescent="0.2">
      <c r="B58" s="13">
        <v>107</v>
      </c>
      <c r="C58" s="13" t="s">
        <v>186</v>
      </c>
      <c r="D58" s="13" t="s">
        <v>316</v>
      </c>
      <c r="E58" s="14">
        <v>34140344</v>
      </c>
      <c r="F58" s="15">
        <v>68605166300</v>
      </c>
      <c r="G58" s="15">
        <v>8129166300</v>
      </c>
      <c r="H58" s="16">
        <v>500000</v>
      </c>
      <c r="I58" s="16" t="s">
        <v>225</v>
      </c>
      <c r="J58" s="16">
        <v>1</v>
      </c>
      <c r="K58" s="16">
        <v>0</v>
      </c>
      <c r="L58" s="13" t="s">
        <v>259</v>
      </c>
      <c r="M58" s="17">
        <v>46204</v>
      </c>
      <c r="N58" s="16"/>
      <c r="O58" s="16"/>
      <c r="P58" s="16">
        <v>0</v>
      </c>
      <c r="Q58" s="16">
        <v>0</v>
      </c>
      <c r="R58" s="16">
        <v>0</v>
      </c>
      <c r="S58" s="16">
        <v>0</v>
      </c>
      <c r="T58" s="16">
        <v>6000000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8">
        <v>6000000</v>
      </c>
      <c r="AO58" s="18">
        <v>1</v>
      </c>
      <c r="AP58" s="18">
        <f>ROUNDDOWN(AN58,-3)</f>
        <v>6000000</v>
      </c>
      <c r="AQ58" s="18"/>
      <c r="AR58" s="18">
        <f>+H58*AQ58</f>
        <v>0</v>
      </c>
      <c r="AS58" s="19" t="str">
        <f>IF(H58=0,0,IF(AP58=(H58*6),"Smt-1 Lunas",IF(AP58=(H58*12),"SY2627 Lunas",AP58/AR58)))</f>
        <v>SY2627 Lunas</v>
      </c>
    </row>
    <row r="59" spans="1:45" ht="15" customHeight="1" x14ac:dyDescent="0.2">
      <c r="B59" s="13">
        <v>88</v>
      </c>
      <c r="C59" s="13" t="s">
        <v>95</v>
      </c>
      <c r="D59" s="13" t="s">
        <v>95</v>
      </c>
      <c r="E59" s="14">
        <v>34140256</v>
      </c>
      <c r="F59" s="15">
        <v>68605453641</v>
      </c>
      <c r="G59" s="15">
        <v>8165453641</v>
      </c>
      <c r="H59" s="16">
        <v>250000</v>
      </c>
      <c r="I59" s="16" t="s">
        <v>225</v>
      </c>
      <c r="J59" s="16">
        <v>0</v>
      </c>
      <c r="K59" s="16">
        <v>1</v>
      </c>
      <c r="L59" s="13" t="s">
        <v>259</v>
      </c>
      <c r="M59" s="17">
        <v>46204</v>
      </c>
      <c r="N59" s="16">
        <v>3000000</v>
      </c>
      <c r="O59" s="16">
        <v>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8">
        <v>3000000</v>
      </c>
      <c r="AO59" s="18">
        <v>1</v>
      </c>
      <c r="AP59" s="18">
        <f>ROUNDDOWN(AN59,-3)</f>
        <v>3000000</v>
      </c>
      <c r="AQ59" s="18">
        <f ca="1">DATEDIF(M59,AS$1, "m")+1</f>
        <v>3</v>
      </c>
      <c r="AR59" s="18">
        <f ca="1">+H59*AQ59</f>
        <v>750000</v>
      </c>
      <c r="AS59" s="19" t="str">
        <f>IF(H59=0,0,IF(AP59=(H59*6),"Smt-1 Lunas",IF(AP59=(H59*12),"SY2627 Lunas",AP59/AR59)))</f>
        <v>SY2627 Lunas</v>
      </c>
    </row>
    <row r="60" spans="1:45" ht="15" customHeight="1" x14ac:dyDescent="0.2">
      <c r="B60" s="13">
        <v>164</v>
      </c>
      <c r="C60" s="13" t="s">
        <v>144</v>
      </c>
      <c r="D60" s="13" t="s">
        <v>333</v>
      </c>
      <c r="E60" s="14">
        <v>34140438</v>
      </c>
      <c r="F60" s="15">
        <v>68605411557</v>
      </c>
      <c r="G60" s="15">
        <v>8118411557</v>
      </c>
      <c r="H60" s="16">
        <v>500000</v>
      </c>
      <c r="I60" s="16" t="s">
        <v>223</v>
      </c>
      <c r="J60" s="16">
        <v>0</v>
      </c>
      <c r="K60" s="16">
        <v>2</v>
      </c>
      <c r="L60" s="13" t="s">
        <v>259</v>
      </c>
      <c r="M60" s="17">
        <v>46204</v>
      </c>
      <c r="N60" s="16">
        <v>0</v>
      </c>
      <c r="O60" s="16">
        <v>0</v>
      </c>
      <c r="P60" s="16">
        <v>3000000</v>
      </c>
      <c r="Q60" s="16">
        <v>1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8">
        <v>3000000</v>
      </c>
      <c r="AO60" s="18">
        <v>1</v>
      </c>
      <c r="AP60" s="18">
        <f>ROUNDDOWN(AN60,-3)</f>
        <v>3000000</v>
      </c>
      <c r="AQ60" s="18">
        <f ca="1">DATEDIF(M60,AS$1, "m")+1</f>
        <v>3</v>
      </c>
      <c r="AR60" s="18">
        <f ca="1">+H60*AQ60</f>
        <v>1500000</v>
      </c>
      <c r="AS60" s="19" t="str">
        <f>IF(H60=0,0,IF(AP60=(H60*6),"Smt-1 Lunas",IF(AP60=(H60*12),"SY2627 Lunas",AP60/AR60)))</f>
        <v>Smt-1 Lunas</v>
      </c>
    </row>
    <row r="61" spans="1:45" ht="15" customHeight="1" x14ac:dyDescent="0.2">
      <c r="B61" s="13">
        <v>140</v>
      </c>
      <c r="C61" s="13" t="s">
        <v>125</v>
      </c>
      <c r="D61" s="13" t="s">
        <v>289</v>
      </c>
      <c r="E61" s="14">
        <v>34140413</v>
      </c>
      <c r="F61" s="15">
        <v>68605112268</v>
      </c>
      <c r="G61" s="15">
        <v>82211112268</v>
      </c>
      <c r="H61" s="16">
        <v>750000</v>
      </c>
      <c r="I61" s="16" t="s">
        <v>223</v>
      </c>
      <c r="J61" s="16">
        <v>1</v>
      </c>
      <c r="K61" s="16">
        <v>1</v>
      </c>
      <c r="L61" s="13" t="s">
        <v>259</v>
      </c>
      <c r="M61" s="17">
        <v>46204</v>
      </c>
      <c r="N61" s="16"/>
      <c r="O61" s="16"/>
      <c r="P61" s="16">
        <v>750000</v>
      </c>
      <c r="Q61" s="16">
        <v>1</v>
      </c>
      <c r="R61" s="16">
        <v>750000</v>
      </c>
      <c r="S61" s="16">
        <v>1</v>
      </c>
      <c r="T61" s="16">
        <v>750000</v>
      </c>
      <c r="U61" s="16">
        <v>1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8">
        <v>2250000</v>
      </c>
      <c r="AO61" s="18">
        <v>3</v>
      </c>
      <c r="AP61" s="18">
        <f>ROUNDDOWN(AN61,-3)</f>
        <v>2250000</v>
      </c>
      <c r="AQ61" s="18">
        <f ca="1">DATEDIF(M61,AS$1, "m")+1</f>
        <v>3</v>
      </c>
      <c r="AR61" s="18">
        <f ca="1">+H61*AQ61</f>
        <v>2250000</v>
      </c>
      <c r="AS61" s="19">
        <f ca="1">IF(H61=0,0,IF(AP61=(H61*6),"Smt-1 Lunas",IF(AP61=(H61*12),"SY2627 Lunas",AP61/AR61)))</f>
        <v>1</v>
      </c>
    </row>
    <row r="62" spans="1:45" ht="15" customHeight="1" x14ac:dyDescent="0.2">
      <c r="B62" s="13">
        <v>122</v>
      </c>
      <c r="C62" s="13" t="s">
        <v>115</v>
      </c>
      <c r="D62" s="13" t="s">
        <v>283</v>
      </c>
      <c r="E62" s="14">
        <v>34140394</v>
      </c>
      <c r="F62" s="15">
        <v>68605055608</v>
      </c>
      <c r="G62" s="15">
        <v>8128055608</v>
      </c>
      <c r="H62" s="16">
        <v>1000000</v>
      </c>
      <c r="I62" s="16" t="s">
        <v>223</v>
      </c>
      <c r="J62" s="16">
        <v>1</v>
      </c>
      <c r="K62" s="16">
        <v>2</v>
      </c>
      <c r="L62" s="13" t="s">
        <v>259</v>
      </c>
      <c r="M62" s="17">
        <v>46204</v>
      </c>
      <c r="N62" s="16"/>
      <c r="O62" s="16"/>
      <c r="P62" s="16">
        <v>1000000</v>
      </c>
      <c r="Q62" s="16">
        <v>1</v>
      </c>
      <c r="R62" s="16">
        <v>1000000</v>
      </c>
      <c r="S62" s="16">
        <v>1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8">
        <v>2000000</v>
      </c>
      <c r="AO62" s="18">
        <v>2</v>
      </c>
      <c r="AP62" s="18">
        <f>ROUNDDOWN(AN62,-3)</f>
        <v>2000000</v>
      </c>
      <c r="AQ62" s="18">
        <f ca="1">DATEDIF(M62,AS$1, "m")+1</f>
        <v>3</v>
      </c>
      <c r="AR62" s="18">
        <f ca="1">+H62*AQ62</f>
        <v>3000000</v>
      </c>
      <c r="AS62" s="19">
        <f ca="1">IF(H62=0,0,IF(AP62=(H62*6),"Smt-1 Lunas",IF(AP62=(H62*12),"SY2627 Lunas",AP62/AR62)))</f>
        <v>0.66666666666666663</v>
      </c>
    </row>
    <row r="63" spans="1:45" ht="15" customHeight="1" x14ac:dyDescent="0.2">
      <c r="B63" s="13">
        <v>113</v>
      </c>
      <c r="C63" s="13" t="s">
        <v>109</v>
      </c>
      <c r="D63" s="13" t="s">
        <v>280</v>
      </c>
      <c r="E63" s="14">
        <v>34140381</v>
      </c>
      <c r="F63" s="15">
        <v>68605820463</v>
      </c>
      <c r="G63" s="15">
        <v>8118820463</v>
      </c>
      <c r="H63" s="16">
        <v>500000</v>
      </c>
      <c r="I63" s="16" t="s">
        <v>223</v>
      </c>
      <c r="J63" s="16">
        <v>1</v>
      </c>
      <c r="K63" s="16">
        <v>0</v>
      </c>
      <c r="L63" s="13" t="s">
        <v>259</v>
      </c>
      <c r="M63" s="17">
        <v>46204</v>
      </c>
      <c r="N63" s="16"/>
      <c r="O63" s="16"/>
      <c r="P63" s="16">
        <v>500381</v>
      </c>
      <c r="Q63" s="16">
        <v>1</v>
      </c>
      <c r="R63" s="16">
        <v>500381</v>
      </c>
      <c r="S63" s="16">
        <v>1</v>
      </c>
      <c r="T63" s="16">
        <v>500381</v>
      </c>
      <c r="U63" s="16">
        <v>1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8">
        <v>1501143</v>
      </c>
      <c r="AO63" s="18">
        <v>3</v>
      </c>
      <c r="AP63" s="18">
        <f>ROUNDDOWN(AN63,-3)</f>
        <v>1501000</v>
      </c>
      <c r="AQ63" s="18">
        <f ca="1">DATEDIF(M63,AS$1, "m")+1</f>
        <v>3</v>
      </c>
      <c r="AR63" s="18">
        <f ca="1">+H63*AQ63</f>
        <v>1500000</v>
      </c>
      <c r="AS63" s="19">
        <f ca="1">IF(H63=0,0,IF(AP63=(H63*6),"Smt-1 Lunas",IF(AP63=(H63*12),"SY2627 Lunas",AP63/AR63)))</f>
        <v>1.0006666666666666</v>
      </c>
    </row>
    <row r="64" spans="1:45" ht="15" customHeight="1" x14ac:dyDescent="0.2">
      <c r="B64" s="13">
        <v>96</v>
      </c>
      <c r="C64" s="13" t="s">
        <v>102</v>
      </c>
      <c r="D64" s="13" t="s">
        <v>277</v>
      </c>
      <c r="E64" s="14">
        <v>34140277</v>
      </c>
      <c r="F64" s="15">
        <v>68605005288</v>
      </c>
      <c r="G64" s="15">
        <v>85210005288</v>
      </c>
      <c r="H64" s="16">
        <v>500000</v>
      </c>
      <c r="I64" s="16" t="s">
        <v>223</v>
      </c>
      <c r="J64" s="16">
        <v>1</v>
      </c>
      <c r="K64" s="16">
        <v>0</v>
      </c>
      <c r="L64" s="13" t="s">
        <v>259</v>
      </c>
      <c r="M64" s="17">
        <v>46204</v>
      </c>
      <c r="N64" s="16"/>
      <c r="O64" s="16"/>
      <c r="P64" s="16">
        <v>1000554</v>
      </c>
      <c r="Q64" s="16">
        <v>2</v>
      </c>
      <c r="R64" s="16">
        <v>500277</v>
      </c>
      <c r="S64" s="16">
        <v>1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8">
        <v>1500831</v>
      </c>
      <c r="AO64" s="18">
        <v>3</v>
      </c>
      <c r="AP64" s="18">
        <f>ROUNDDOWN(AN64,-3)</f>
        <v>1500000</v>
      </c>
      <c r="AQ64" s="18">
        <f ca="1">DATEDIF(M64,AS$1, "m")+1</f>
        <v>3</v>
      </c>
      <c r="AR64" s="18">
        <f ca="1">+H64*AQ64</f>
        <v>1500000</v>
      </c>
      <c r="AS64" s="19">
        <f ca="1">IF(H64=0,0,IF(AP64=(H64*6),"Smt-1 Lunas",IF(AP64=(H64*12),"SY2627 Lunas",AP64/AR64)))</f>
        <v>1</v>
      </c>
    </row>
    <row r="65" spans="1:45" ht="15" customHeight="1" x14ac:dyDescent="0.2">
      <c r="B65" s="13">
        <v>151</v>
      </c>
      <c r="C65" s="13" t="s">
        <v>131</v>
      </c>
      <c r="D65" s="13" t="s">
        <v>291</v>
      </c>
      <c r="E65" s="14">
        <v>34140425</v>
      </c>
      <c r="F65" s="15">
        <v>68605833805</v>
      </c>
      <c r="G65" s="15">
        <v>8164833805</v>
      </c>
      <c r="H65" s="16">
        <v>500000</v>
      </c>
      <c r="I65" s="16" t="s">
        <v>223</v>
      </c>
      <c r="J65" s="16">
        <v>1</v>
      </c>
      <c r="K65" s="16">
        <v>0</v>
      </c>
      <c r="L65" s="13" t="s">
        <v>259</v>
      </c>
      <c r="M65" s="17">
        <v>46204</v>
      </c>
      <c r="N65" s="16"/>
      <c r="O65" s="16"/>
      <c r="P65" s="16">
        <v>500425</v>
      </c>
      <c r="Q65" s="16">
        <v>1</v>
      </c>
      <c r="R65" s="16">
        <v>500000</v>
      </c>
      <c r="S65" s="16">
        <v>1</v>
      </c>
      <c r="T65" s="16">
        <v>500000</v>
      </c>
      <c r="U65" s="16">
        <v>1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8">
        <v>1500425</v>
      </c>
      <c r="AO65" s="18">
        <v>3</v>
      </c>
      <c r="AP65" s="18">
        <f>ROUNDDOWN(AN65,-3)</f>
        <v>1500000</v>
      </c>
      <c r="AQ65" s="18">
        <f ca="1">DATEDIF(M65,AS$1, "m")+1</f>
        <v>3</v>
      </c>
      <c r="AR65" s="18">
        <f ca="1">+H65*AQ65</f>
        <v>1500000</v>
      </c>
      <c r="AS65" s="19">
        <f ca="1">IF(H65=0,0,IF(AP65=(H65*6),"Smt-1 Lunas",IF(AP65=(H65*12),"SY2627 Lunas",AP65/AR65)))</f>
        <v>1</v>
      </c>
    </row>
    <row r="66" spans="1:45" ht="15" customHeight="1" x14ac:dyDescent="0.2">
      <c r="B66" s="13">
        <v>101</v>
      </c>
      <c r="C66" s="13" t="s">
        <v>104</v>
      </c>
      <c r="D66" s="13" t="s">
        <v>278</v>
      </c>
      <c r="E66" s="14">
        <v>34140285</v>
      </c>
      <c r="F66" s="15">
        <v>68605075418</v>
      </c>
      <c r="G66" s="15">
        <v>81375075418</v>
      </c>
      <c r="H66" s="16">
        <v>250000</v>
      </c>
      <c r="I66" s="16" t="s">
        <v>230</v>
      </c>
      <c r="J66" s="16">
        <v>0</v>
      </c>
      <c r="K66" s="16">
        <v>1</v>
      </c>
      <c r="L66" s="13" t="s">
        <v>259</v>
      </c>
      <c r="M66" s="17">
        <v>46174</v>
      </c>
      <c r="N66" s="16">
        <v>1500000</v>
      </c>
      <c r="O66" s="16">
        <v>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8">
        <v>1500000</v>
      </c>
      <c r="AO66" s="18">
        <v>1</v>
      </c>
      <c r="AP66" s="18">
        <f>ROUNDDOWN(AN66,-3)</f>
        <v>1500000</v>
      </c>
      <c r="AQ66" s="18">
        <f ca="1">DATEDIF(M66,AS$1, "m")+1</f>
        <v>4</v>
      </c>
      <c r="AR66" s="18">
        <f ca="1">+H66*AQ66</f>
        <v>1000000</v>
      </c>
      <c r="AS66" s="19" t="str">
        <f>IF(H66=0,0,IF(AP66=(H66*6),"Smt-1 Lunas",IF(AP66=(H66*12),"SY2627 Lunas",AP66/AR66)))</f>
        <v>Smt-1 Lunas</v>
      </c>
    </row>
    <row r="67" spans="1:45" ht="15" customHeight="1" x14ac:dyDescent="0.2">
      <c r="B67" s="13">
        <v>131</v>
      </c>
      <c r="C67" s="13" t="s">
        <v>119</v>
      </c>
      <c r="D67" s="13" t="s">
        <v>119</v>
      </c>
      <c r="E67" s="14">
        <v>34140404</v>
      </c>
      <c r="F67" s="15">
        <v>68605570809</v>
      </c>
      <c r="G67" s="15">
        <v>8176570809</v>
      </c>
      <c r="H67" s="16">
        <v>500000</v>
      </c>
      <c r="I67" s="16" t="s">
        <v>223</v>
      </c>
      <c r="J67" s="16">
        <v>1</v>
      </c>
      <c r="K67" s="16">
        <v>0</v>
      </c>
      <c r="L67" s="13" t="s">
        <v>259</v>
      </c>
      <c r="M67" s="17">
        <v>46204</v>
      </c>
      <c r="N67" s="16"/>
      <c r="O67" s="16"/>
      <c r="P67" s="16">
        <v>0</v>
      </c>
      <c r="Q67" s="16">
        <v>0</v>
      </c>
      <c r="R67" s="16">
        <v>500404</v>
      </c>
      <c r="S67" s="16">
        <v>1</v>
      </c>
      <c r="T67" s="16">
        <v>500404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8">
        <v>1000808</v>
      </c>
      <c r="AO67" s="18">
        <v>2</v>
      </c>
      <c r="AP67" s="18">
        <f>ROUNDDOWN(AN67,-3)</f>
        <v>1000000</v>
      </c>
      <c r="AQ67" s="18">
        <f ca="1">DATEDIF(M67,AS$1, "m")+1</f>
        <v>3</v>
      </c>
      <c r="AR67" s="18">
        <f ca="1">+H67*AQ67</f>
        <v>1500000</v>
      </c>
      <c r="AS67" s="19">
        <f ca="1">IF(H67=0,0,IF(AP67=(H67*6),"Smt-1 Lunas",IF(AP67=(H67*12),"SY2627 Lunas",AP67/AR67)))</f>
        <v>0.66666666666666663</v>
      </c>
    </row>
    <row r="68" spans="1:45" ht="15" customHeight="1" x14ac:dyDescent="0.2">
      <c r="B68" s="13">
        <v>118</v>
      </c>
      <c r="C68" s="13" t="s">
        <v>113</v>
      </c>
      <c r="D68" s="13" t="s">
        <v>282</v>
      </c>
      <c r="E68" s="14">
        <v>34140390</v>
      </c>
      <c r="F68" s="15">
        <v>68605368671</v>
      </c>
      <c r="G68" s="15">
        <v>8161368671</v>
      </c>
      <c r="H68" s="16">
        <v>1000000</v>
      </c>
      <c r="I68" s="16" t="s">
        <v>223</v>
      </c>
      <c r="J68" s="16">
        <v>0</v>
      </c>
      <c r="K68" s="16">
        <v>4</v>
      </c>
      <c r="L68" s="13" t="s">
        <v>259</v>
      </c>
      <c r="M68" s="17">
        <v>46204</v>
      </c>
      <c r="N68" s="16"/>
      <c r="O68" s="16"/>
      <c r="P68" s="16">
        <v>1000390</v>
      </c>
      <c r="Q68" s="16">
        <v>1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8">
        <v>1000390</v>
      </c>
      <c r="AO68" s="18">
        <v>1</v>
      </c>
      <c r="AP68" s="18">
        <f>ROUNDDOWN(AN68,-3)</f>
        <v>1000000</v>
      </c>
      <c r="AQ68" s="18">
        <f ca="1">DATEDIF(M68,AS$1, "m")+1</f>
        <v>3</v>
      </c>
      <c r="AR68" s="18">
        <f ca="1">+H68*AQ68</f>
        <v>3000000</v>
      </c>
      <c r="AS68" s="19">
        <f ca="1">IF(H68=0,0,IF(AP68=(H68*6),"Smt-1 Lunas",IF(AP68=(H68*12),"SY2627 Lunas",AP68/AR68)))</f>
        <v>0.33333333333333331</v>
      </c>
    </row>
    <row r="69" spans="1:45" ht="15" customHeight="1" x14ac:dyDescent="0.2">
      <c r="B69" s="13">
        <v>66</v>
      </c>
      <c r="C69" s="13" t="s">
        <v>77</v>
      </c>
      <c r="D69" s="13" t="s">
        <v>77</v>
      </c>
      <c r="E69" s="14">
        <v>34140186</v>
      </c>
      <c r="F69" s="15">
        <v>68605992921</v>
      </c>
      <c r="G69" s="15">
        <v>8979992921</v>
      </c>
      <c r="H69" s="16">
        <v>250000</v>
      </c>
      <c r="I69" s="16" t="s">
        <v>223</v>
      </c>
      <c r="J69" s="16">
        <v>0</v>
      </c>
      <c r="K69" s="16">
        <v>1</v>
      </c>
      <c r="L69" s="13" t="s">
        <v>259</v>
      </c>
      <c r="M69" s="17">
        <v>46204</v>
      </c>
      <c r="N69" s="16"/>
      <c r="O69" s="16"/>
      <c r="P69" s="16">
        <v>500000</v>
      </c>
      <c r="Q69" s="16">
        <v>2</v>
      </c>
      <c r="R69" s="16">
        <v>250000</v>
      </c>
      <c r="S69" s="16">
        <v>1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8">
        <v>750000</v>
      </c>
      <c r="AO69" s="18">
        <v>3</v>
      </c>
      <c r="AP69" s="18">
        <f>ROUNDDOWN(AN69,-3)</f>
        <v>750000</v>
      </c>
      <c r="AQ69" s="18">
        <f ca="1">DATEDIF(M69,AS$1, "m")+1</f>
        <v>3</v>
      </c>
      <c r="AR69" s="18">
        <f ca="1">+H69*AQ69</f>
        <v>750000</v>
      </c>
      <c r="AS69" s="19">
        <f ca="1">IF(H69=0,0,IF(AP69=(H69*6),"Smt-1 Lunas",IF(AP69=(H69*12),"SY2627 Lunas",AP69/AR69)))</f>
        <v>1</v>
      </c>
    </row>
    <row r="70" spans="1:45" ht="15" customHeight="1" x14ac:dyDescent="0.2">
      <c r="B70" s="13">
        <v>82</v>
      </c>
      <c r="C70" s="13" t="s">
        <v>90</v>
      </c>
      <c r="D70" s="13" t="s">
        <v>269</v>
      </c>
      <c r="E70" s="14">
        <v>34140246</v>
      </c>
      <c r="F70" s="15">
        <v>68605858510</v>
      </c>
      <c r="G70" s="15">
        <v>8170858510</v>
      </c>
      <c r="H70" s="16">
        <v>250000</v>
      </c>
      <c r="I70" s="16" t="s">
        <v>223</v>
      </c>
      <c r="J70" s="16">
        <v>0</v>
      </c>
      <c r="K70" s="16">
        <v>1</v>
      </c>
      <c r="L70" s="13" t="s">
        <v>259</v>
      </c>
      <c r="M70" s="17">
        <v>46204</v>
      </c>
      <c r="N70" s="16"/>
      <c r="O70" s="16"/>
      <c r="P70" s="16">
        <v>250000</v>
      </c>
      <c r="Q70" s="16">
        <v>1</v>
      </c>
      <c r="R70" s="16">
        <v>250000</v>
      </c>
      <c r="S70" s="16">
        <v>1</v>
      </c>
      <c r="T70" s="16">
        <v>250000</v>
      </c>
      <c r="U70" s="16">
        <v>1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8">
        <v>750000</v>
      </c>
      <c r="AO70" s="18">
        <v>3</v>
      </c>
      <c r="AP70" s="18">
        <f>ROUNDDOWN(AN70,-3)</f>
        <v>750000</v>
      </c>
      <c r="AQ70" s="18">
        <f ca="1">DATEDIF(M70,AS$1, "m")+1</f>
        <v>3</v>
      </c>
      <c r="AR70" s="18">
        <f ca="1">+H70*AQ70</f>
        <v>750000</v>
      </c>
      <c r="AS70" s="19">
        <f ca="1">IF(H70=0,0,IF(AP70=(H70*6),"Smt-1 Lunas",IF(AP70=(H70*12),"SY2627 Lunas",AP70/AR70)))</f>
        <v>1</v>
      </c>
    </row>
    <row r="71" spans="1:45" ht="15" customHeight="1" x14ac:dyDescent="0.2">
      <c r="B71" s="13">
        <v>97</v>
      </c>
      <c r="C71" s="13" t="s">
        <v>103</v>
      </c>
      <c r="D71" s="13" t="s">
        <v>103</v>
      </c>
      <c r="E71" s="14">
        <v>34140280</v>
      </c>
      <c r="F71" s="15">
        <v>68605462994</v>
      </c>
      <c r="G71" s="15">
        <v>82143462994</v>
      </c>
      <c r="H71" s="16">
        <v>250000</v>
      </c>
      <c r="I71" s="16" t="s">
        <v>223</v>
      </c>
      <c r="J71" s="16">
        <v>0</v>
      </c>
      <c r="K71" s="16">
        <v>1</v>
      </c>
      <c r="L71" s="13" t="s">
        <v>259</v>
      </c>
      <c r="M71" s="17">
        <v>46204</v>
      </c>
      <c r="N71" s="16"/>
      <c r="O71" s="16"/>
      <c r="P71" s="16">
        <v>500000</v>
      </c>
      <c r="Q71" s="16">
        <v>2</v>
      </c>
      <c r="R71" s="16">
        <v>250000</v>
      </c>
      <c r="S71" s="16">
        <v>1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8">
        <v>750000</v>
      </c>
      <c r="AO71" s="18">
        <v>3</v>
      </c>
      <c r="AP71" s="18">
        <f>ROUNDDOWN(AN71,-3)</f>
        <v>750000</v>
      </c>
      <c r="AQ71" s="18">
        <f ca="1">DATEDIF(M71,AS$1, "m")+1</f>
        <v>3</v>
      </c>
      <c r="AR71" s="18">
        <f ca="1">+H71*AQ71</f>
        <v>750000</v>
      </c>
      <c r="AS71" s="19">
        <f ca="1">IF(H71=0,0,IF(AP71=(H71*6),"Smt-1 Lunas",IF(AP71=(H71*12),"SY2627 Lunas",AP71/AR71)))</f>
        <v>1</v>
      </c>
    </row>
    <row r="72" spans="1:45" ht="15" customHeight="1" x14ac:dyDescent="0.2">
      <c r="B72" s="13">
        <v>136</v>
      </c>
      <c r="C72" s="13" t="s">
        <v>121</v>
      </c>
      <c r="D72" s="13" t="s">
        <v>286</v>
      </c>
      <c r="E72" s="14">
        <v>34140409</v>
      </c>
      <c r="F72" s="15">
        <v>68605945570</v>
      </c>
      <c r="G72" s="15">
        <v>8159945570</v>
      </c>
      <c r="H72" s="16">
        <v>250000</v>
      </c>
      <c r="I72" s="16" t="s">
        <v>223</v>
      </c>
      <c r="J72" s="16">
        <v>0</v>
      </c>
      <c r="K72" s="16">
        <v>1</v>
      </c>
      <c r="L72" s="13" t="s">
        <v>259</v>
      </c>
      <c r="M72" s="17">
        <v>46204</v>
      </c>
      <c r="N72" s="16"/>
      <c r="O72" s="16"/>
      <c r="P72" s="16">
        <v>250000</v>
      </c>
      <c r="Q72" s="16">
        <v>1</v>
      </c>
      <c r="R72" s="16">
        <v>250000</v>
      </c>
      <c r="S72" s="16">
        <v>1</v>
      </c>
      <c r="T72" s="16">
        <v>250000</v>
      </c>
      <c r="U72" s="16">
        <v>1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8">
        <v>750000</v>
      </c>
      <c r="AO72" s="18">
        <v>3</v>
      </c>
      <c r="AP72" s="18">
        <f>ROUNDDOWN(AN72,-3)</f>
        <v>750000</v>
      </c>
      <c r="AQ72" s="18">
        <f ca="1">DATEDIF(M72,AS$1, "m")+1</f>
        <v>3</v>
      </c>
      <c r="AR72" s="18">
        <f ca="1">+H72*AQ72</f>
        <v>750000</v>
      </c>
      <c r="AS72" s="19">
        <f ca="1">IF(H72=0,0,IF(AP72=(H72*6),"Smt-1 Lunas",IF(AP72=(H72*12),"SY2627 Lunas",AP72/AR72)))</f>
        <v>1</v>
      </c>
    </row>
    <row r="73" spans="1:45" ht="15" customHeight="1" x14ac:dyDescent="0.2">
      <c r="B73" s="13">
        <v>154</v>
      </c>
      <c r="C73" s="13" t="s">
        <v>134</v>
      </c>
      <c r="D73" s="13" t="s">
        <v>134</v>
      </c>
      <c r="E73" s="14">
        <v>34140428</v>
      </c>
      <c r="F73" s="15">
        <v>68605706647</v>
      </c>
      <c r="G73" s="15">
        <v>81932706647</v>
      </c>
      <c r="H73" s="16">
        <v>250000</v>
      </c>
      <c r="I73" s="16" t="s">
        <v>223</v>
      </c>
      <c r="J73" s="16">
        <v>0</v>
      </c>
      <c r="K73" s="16">
        <v>1</v>
      </c>
      <c r="L73" s="13" t="s">
        <v>259</v>
      </c>
      <c r="M73" s="17">
        <v>46204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750000</v>
      </c>
      <c r="U73" s="16">
        <v>2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8">
        <v>750000</v>
      </c>
      <c r="AO73" s="18">
        <v>2</v>
      </c>
      <c r="AP73" s="18">
        <f>ROUNDDOWN(AN73,-3)</f>
        <v>750000</v>
      </c>
      <c r="AQ73" s="18">
        <f ca="1">DATEDIF(M73,AS$1, "m")+1</f>
        <v>3</v>
      </c>
      <c r="AR73" s="18">
        <f ca="1">+H73*AQ73</f>
        <v>750000</v>
      </c>
      <c r="AS73" s="19">
        <f ca="1">IF(H73=0,0,IF(AP73=(H73*6),"Smt-1 Lunas",IF(AP73=(H73*12),"SY2627 Lunas",AP73/AR73)))</f>
        <v>1</v>
      </c>
    </row>
    <row r="74" spans="1:45" ht="15" customHeight="1" x14ac:dyDescent="0.2">
      <c r="B74" s="13">
        <v>85</v>
      </c>
      <c r="C74" s="13" t="s">
        <v>93</v>
      </c>
      <c r="D74" s="13" t="s">
        <v>272</v>
      </c>
      <c r="E74" s="14">
        <v>34140251</v>
      </c>
      <c r="F74" s="15">
        <v>68605483826</v>
      </c>
      <c r="G74" s="15">
        <v>81338483826</v>
      </c>
      <c r="H74" s="16">
        <v>250000</v>
      </c>
      <c r="I74" s="16" t="s">
        <v>223</v>
      </c>
      <c r="J74" s="16">
        <v>0</v>
      </c>
      <c r="K74" s="16">
        <v>1</v>
      </c>
      <c r="L74" s="13" t="s">
        <v>259</v>
      </c>
      <c r="M74" s="17">
        <v>46204</v>
      </c>
      <c r="N74" s="16"/>
      <c r="O74" s="16"/>
      <c r="P74" s="16">
        <v>250000</v>
      </c>
      <c r="Q74" s="16">
        <v>1</v>
      </c>
      <c r="R74" s="16">
        <v>250000</v>
      </c>
      <c r="S74" s="16">
        <v>1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8">
        <v>500000</v>
      </c>
      <c r="AO74" s="18">
        <v>2</v>
      </c>
      <c r="AP74" s="18">
        <f>ROUNDDOWN(AN74,-3)</f>
        <v>500000</v>
      </c>
      <c r="AQ74" s="18">
        <f ca="1">DATEDIF(M74,AS$1, "m")+1</f>
        <v>3</v>
      </c>
      <c r="AR74" s="18">
        <f ca="1">+H74*AQ74</f>
        <v>750000</v>
      </c>
      <c r="AS74" s="19">
        <f ca="1">IF(H74=0,0,IF(AP74=(H74*6),"Smt-1 Lunas",IF(AP74=(H74*12),"SY2627 Lunas",AP74/AR74)))</f>
        <v>0.66666666666666663</v>
      </c>
    </row>
    <row r="75" spans="1:45" ht="15" customHeight="1" x14ac:dyDescent="0.2">
      <c r="B75" s="13">
        <v>168</v>
      </c>
      <c r="C75" s="13" t="s">
        <v>148</v>
      </c>
      <c r="D75" s="13" t="s">
        <v>148</v>
      </c>
      <c r="E75" s="14">
        <v>34140442</v>
      </c>
      <c r="F75" s="15">
        <v>68605382388</v>
      </c>
      <c r="G75" s="15">
        <v>81381382388</v>
      </c>
      <c r="H75" s="16">
        <v>250000</v>
      </c>
      <c r="I75" s="16" t="s">
        <v>223</v>
      </c>
      <c r="J75" s="16">
        <v>0</v>
      </c>
      <c r="K75" s="16">
        <v>1</v>
      </c>
      <c r="L75" s="13" t="s">
        <v>259</v>
      </c>
      <c r="M75" s="17">
        <v>46204</v>
      </c>
      <c r="N75" s="16">
        <v>0</v>
      </c>
      <c r="O75" s="16">
        <v>0</v>
      </c>
      <c r="P75" s="16">
        <v>0</v>
      </c>
      <c r="Q75" s="16">
        <v>0</v>
      </c>
      <c r="R75" s="16">
        <v>250000</v>
      </c>
      <c r="S75" s="16">
        <v>1</v>
      </c>
      <c r="T75" s="16">
        <v>250000</v>
      </c>
      <c r="U75" s="16">
        <v>1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8">
        <v>500000</v>
      </c>
      <c r="AO75" s="18">
        <v>2</v>
      </c>
      <c r="AP75" s="18">
        <f>ROUNDDOWN(AN75,-3)</f>
        <v>500000</v>
      </c>
      <c r="AQ75" s="18">
        <f ca="1">DATEDIF(M75,AS$1, "m")+1</f>
        <v>3</v>
      </c>
      <c r="AR75" s="18">
        <f ca="1">+H75*AQ75</f>
        <v>750000</v>
      </c>
      <c r="AS75" s="19">
        <f ca="1">IF(H75=0,0,IF(AP75=(H75*6),"Smt-1 Lunas",IF(AP75=(H75*12),"SY2627 Lunas",AP75/AR75)))</f>
        <v>0.66666666666666663</v>
      </c>
    </row>
    <row r="76" spans="1:45" ht="15" customHeight="1" x14ac:dyDescent="0.2">
      <c r="A76" s="7"/>
      <c r="B76" s="13">
        <v>92</v>
      </c>
      <c r="C76" s="13" t="s">
        <v>182</v>
      </c>
      <c r="D76" s="13" t="s">
        <v>182</v>
      </c>
      <c r="E76" s="14">
        <v>34140262</v>
      </c>
      <c r="F76" s="15">
        <v>68605887673</v>
      </c>
      <c r="G76" s="15">
        <v>811887673</v>
      </c>
      <c r="H76" s="16">
        <v>0</v>
      </c>
      <c r="I76" s="16">
        <v>0</v>
      </c>
      <c r="J76" s="16">
        <v>0</v>
      </c>
      <c r="K76" s="16">
        <v>0</v>
      </c>
      <c r="L76" s="13" t="s">
        <v>259</v>
      </c>
      <c r="M76" s="17">
        <v>0</v>
      </c>
      <c r="N76" s="16"/>
      <c r="O76" s="16"/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8">
        <v>0</v>
      </c>
      <c r="AO76" s="18">
        <v>0</v>
      </c>
      <c r="AP76" s="18">
        <f>ROUNDDOWN(AN76,-3)</f>
        <v>0</v>
      </c>
      <c r="AQ76" s="18"/>
      <c r="AR76" s="18">
        <f>+H76*AQ76</f>
        <v>0</v>
      </c>
      <c r="AS76" s="19">
        <f>IF(H76=0,0,IF(AP76=(H76*6),"Smt-1 Lunas",IF(AP76=(H76*12),"SY2627 Lunas",AP76/AR76)))</f>
        <v>0</v>
      </c>
    </row>
    <row r="77" spans="1:45" ht="15" customHeight="1" x14ac:dyDescent="0.2">
      <c r="A77" s="7"/>
      <c r="B77" s="13">
        <v>98</v>
      </c>
      <c r="C77" s="13" t="s">
        <v>183</v>
      </c>
      <c r="D77" s="13" t="s">
        <v>183</v>
      </c>
      <c r="E77" s="14">
        <v>34140281</v>
      </c>
      <c r="F77" s="15">
        <v>68605881433</v>
      </c>
      <c r="G77" s="15">
        <v>8118881433</v>
      </c>
      <c r="H77" s="16">
        <v>0</v>
      </c>
      <c r="I77" s="16">
        <v>0</v>
      </c>
      <c r="J77" s="16">
        <v>0</v>
      </c>
      <c r="K77" s="16">
        <v>0</v>
      </c>
      <c r="L77" s="13" t="s">
        <v>259</v>
      </c>
      <c r="M77" s="17">
        <v>0</v>
      </c>
      <c r="N77" s="16"/>
      <c r="O77" s="16"/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8">
        <v>0</v>
      </c>
      <c r="AO77" s="18">
        <v>0</v>
      </c>
      <c r="AP77" s="18">
        <f>ROUNDDOWN(AN77,-3)</f>
        <v>0</v>
      </c>
      <c r="AQ77" s="18"/>
      <c r="AR77" s="18">
        <f>+H77*AQ77</f>
        <v>0</v>
      </c>
      <c r="AS77" s="19">
        <f>IF(H77=0,0,IF(AP77=(H77*6),"Smt-1 Lunas",IF(AP77=(H77*12),"SY2627 Lunas",AP77/AR77)))</f>
        <v>0</v>
      </c>
    </row>
    <row r="78" spans="1:45" ht="15" customHeight="1" x14ac:dyDescent="0.2">
      <c r="A78" s="7"/>
      <c r="B78" s="13">
        <v>100</v>
      </c>
      <c r="C78" s="13" t="s">
        <v>184</v>
      </c>
      <c r="D78" s="13" t="s">
        <v>184</v>
      </c>
      <c r="E78" s="14">
        <v>34140284</v>
      </c>
      <c r="F78" s="15">
        <v>68605849594</v>
      </c>
      <c r="G78" s="15">
        <v>8567849594</v>
      </c>
      <c r="H78" s="16">
        <v>0</v>
      </c>
      <c r="I78" s="16">
        <v>0</v>
      </c>
      <c r="J78" s="16">
        <v>0</v>
      </c>
      <c r="K78" s="16">
        <v>0</v>
      </c>
      <c r="L78" s="13" t="s">
        <v>259</v>
      </c>
      <c r="M78" s="17">
        <v>0</v>
      </c>
      <c r="N78" s="16"/>
      <c r="O78" s="16"/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8">
        <v>0</v>
      </c>
      <c r="AO78" s="18">
        <v>0</v>
      </c>
      <c r="AP78" s="18">
        <f>ROUNDDOWN(AN78,-3)</f>
        <v>0</v>
      </c>
      <c r="AQ78" s="18"/>
      <c r="AR78" s="18">
        <f>+H78*AQ78</f>
        <v>0</v>
      </c>
      <c r="AS78" s="19">
        <f>IF(H78=0,0,IF(AP78=(H78*6),"Smt-1 Lunas",IF(AP78=(H78*12),"SY2627 Lunas",AP78/AR78)))</f>
        <v>0</v>
      </c>
    </row>
    <row r="79" spans="1:45" ht="15" customHeight="1" x14ac:dyDescent="0.2">
      <c r="A79" s="7"/>
      <c r="B79" s="13">
        <v>102</v>
      </c>
      <c r="C79" s="13" t="s">
        <v>185</v>
      </c>
      <c r="D79" s="13" t="s">
        <v>315</v>
      </c>
      <c r="E79" s="14">
        <v>34140288</v>
      </c>
      <c r="F79" s="15">
        <v>68605679138</v>
      </c>
      <c r="G79" s="15">
        <v>81314679138</v>
      </c>
      <c r="H79" s="16">
        <v>0</v>
      </c>
      <c r="I79" s="16">
        <v>0</v>
      </c>
      <c r="J79" s="16">
        <v>0</v>
      </c>
      <c r="K79" s="16">
        <v>0</v>
      </c>
      <c r="L79" s="13" t="s">
        <v>259</v>
      </c>
      <c r="M79" s="17">
        <v>0</v>
      </c>
      <c r="N79" s="16"/>
      <c r="O79" s="16"/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8">
        <v>0</v>
      </c>
      <c r="AO79" s="18">
        <v>0</v>
      </c>
      <c r="AP79" s="18">
        <f>ROUNDDOWN(AN79,-3)</f>
        <v>0</v>
      </c>
      <c r="AQ79" s="18"/>
      <c r="AR79" s="18">
        <f>+H79*AQ79</f>
        <v>0</v>
      </c>
      <c r="AS79" s="19">
        <f>IF(H79=0,0,IF(AP79=(H79*6),"Smt-1 Lunas",IF(AP79=(H79*12),"SY2627 Lunas",AP79/AR79)))</f>
        <v>0</v>
      </c>
    </row>
    <row r="80" spans="1:45" ht="15" customHeight="1" x14ac:dyDescent="0.2">
      <c r="A80" s="7"/>
      <c r="B80" s="13">
        <v>114</v>
      </c>
      <c r="C80" s="13" t="s">
        <v>187</v>
      </c>
      <c r="D80" s="13" t="s">
        <v>317</v>
      </c>
      <c r="E80" s="14">
        <v>34140382</v>
      </c>
      <c r="F80" s="15">
        <v>68605095414</v>
      </c>
      <c r="G80" s="15">
        <v>81288095414</v>
      </c>
      <c r="H80" s="16">
        <v>0</v>
      </c>
      <c r="I80" s="16">
        <v>0</v>
      </c>
      <c r="J80" s="16">
        <v>0</v>
      </c>
      <c r="K80" s="16">
        <v>0</v>
      </c>
      <c r="L80" s="13" t="s">
        <v>259</v>
      </c>
      <c r="M80" s="17">
        <v>0</v>
      </c>
      <c r="N80" s="16"/>
      <c r="O80" s="16"/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8">
        <v>0</v>
      </c>
      <c r="AO80" s="18">
        <v>0</v>
      </c>
      <c r="AP80" s="18">
        <f>ROUNDDOWN(AN80,-3)</f>
        <v>0</v>
      </c>
      <c r="AQ80" s="18"/>
      <c r="AR80" s="18">
        <f>+H80*AQ80</f>
        <v>0</v>
      </c>
      <c r="AS80" s="19">
        <f>IF(H80=0,0,IF(AP80=(H80*6),"Smt-1 Lunas",IF(AP80=(H80*12),"SY2627 Lunas",AP80/AR80)))</f>
        <v>0</v>
      </c>
    </row>
    <row r="81" spans="1:45" ht="15" customHeight="1" x14ac:dyDescent="0.2">
      <c r="A81" s="7"/>
      <c r="B81" s="13">
        <v>121</v>
      </c>
      <c r="C81" s="13" t="s">
        <v>188</v>
      </c>
      <c r="D81" s="13" t="s">
        <v>188</v>
      </c>
      <c r="E81" s="14">
        <v>34140393</v>
      </c>
      <c r="F81" s="15">
        <v>68605931286</v>
      </c>
      <c r="G81" s="15">
        <v>811931286</v>
      </c>
      <c r="H81" s="16">
        <v>0</v>
      </c>
      <c r="I81" s="16">
        <v>0</v>
      </c>
      <c r="J81" s="16">
        <v>0</v>
      </c>
      <c r="K81" s="16">
        <v>0</v>
      </c>
      <c r="L81" s="13" t="s">
        <v>259</v>
      </c>
      <c r="M81" s="17">
        <v>0</v>
      </c>
      <c r="N81" s="16"/>
      <c r="O81" s="16"/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8">
        <v>0</v>
      </c>
      <c r="AO81" s="18">
        <v>0</v>
      </c>
      <c r="AP81" s="18">
        <f>ROUNDDOWN(AN81,-3)</f>
        <v>0</v>
      </c>
      <c r="AQ81" s="18"/>
      <c r="AR81" s="18">
        <f>+H81*AQ81</f>
        <v>0</v>
      </c>
      <c r="AS81" s="19">
        <f>IF(H81=0,0,IF(AP81=(H81*6),"Smt-1 Lunas",IF(AP81=(H81*12),"SY2627 Lunas",AP81/AR81)))</f>
        <v>0</v>
      </c>
    </row>
    <row r="82" spans="1:45" ht="15" customHeight="1" x14ac:dyDescent="0.2">
      <c r="A82" s="7"/>
      <c r="B82" s="13">
        <v>126</v>
      </c>
      <c r="C82" s="13" t="s">
        <v>189</v>
      </c>
      <c r="D82" s="13" t="s">
        <v>318</v>
      </c>
      <c r="E82" s="14">
        <v>34140399</v>
      </c>
      <c r="F82" s="15">
        <v>68605098521</v>
      </c>
      <c r="G82" s="15">
        <v>8111098521</v>
      </c>
      <c r="H82" s="16">
        <v>0</v>
      </c>
      <c r="I82" s="16">
        <v>0</v>
      </c>
      <c r="J82" s="16">
        <v>0</v>
      </c>
      <c r="K82" s="16">
        <v>0</v>
      </c>
      <c r="L82" s="13" t="s">
        <v>259</v>
      </c>
      <c r="M82" s="17">
        <v>0</v>
      </c>
      <c r="N82" s="16"/>
      <c r="O82" s="16"/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8">
        <v>0</v>
      </c>
      <c r="AO82" s="18">
        <v>0</v>
      </c>
      <c r="AP82" s="18">
        <f>ROUNDDOWN(AN82,-3)</f>
        <v>0</v>
      </c>
      <c r="AQ82" s="18"/>
      <c r="AR82" s="18">
        <f>+H82*AQ82</f>
        <v>0</v>
      </c>
      <c r="AS82" s="19">
        <f>IF(H82=0,0,IF(AP82=(H82*6),"Smt-1 Lunas",IF(AP82=(H82*12),"SY2627 Lunas",AP82/AR82)))</f>
        <v>0</v>
      </c>
    </row>
    <row r="83" spans="1:45" ht="15" customHeight="1" x14ac:dyDescent="0.2">
      <c r="A83" s="7"/>
      <c r="B83" s="13">
        <v>130</v>
      </c>
      <c r="C83" s="13" t="s">
        <v>190</v>
      </c>
      <c r="D83" s="13" t="s">
        <v>190</v>
      </c>
      <c r="E83" s="14">
        <v>34140403</v>
      </c>
      <c r="F83" s="15">
        <v>68605230975</v>
      </c>
      <c r="G83" s="15">
        <v>81281230975</v>
      </c>
      <c r="H83" s="16">
        <v>0</v>
      </c>
      <c r="I83" s="16">
        <v>0</v>
      </c>
      <c r="J83" s="16">
        <v>0</v>
      </c>
      <c r="K83" s="16">
        <v>0</v>
      </c>
      <c r="L83" s="13" t="s">
        <v>259</v>
      </c>
      <c r="M83" s="17">
        <v>0</v>
      </c>
      <c r="N83" s="16"/>
      <c r="O83" s="16"/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8">
        <v>0</v>
      </c>
      <c r="AO83" s="18">
        <v>0</v>
      </c>
      <c r="AP83" s="18">
        <f>ROUNDDOWN(AN83,-3)</f>
        <v>0</v>
      </c>
      <c r="AQ83" s="18"/>
      <c r="AR83" s="18">
        <f>+H83*AQ83</f>
        <v>0</v>
      </c>
      <c r="AS83" s="19">
        <f>IF(H83=0,0,IF(AP83=(H83*6),"Smt-1 Lunas",IF(AP83=(H83*12),"SY2627 Lunas",AP83/AR83)))</f>
        <v>0</v>
      </c>
    </row>
    <row r="84" spans="1:45" ht="15" customHeight="1" x14ac:dyDescent="0.2">
      <c r="A84" s="7"/>
      <c r="B84" s="13">
        <v>134</v>
      </c>
      <c r="C84" s="13" t="s">
        <v>191</v>
      </c>
      <c r="D84" s="13" t="s">
        <v>191</v>
      </c>
      <c r="E84" s="14">
        <v>34140407</v>
      </c>
      <c r="F84" s="15">
        <v>68605651986</v>
      </c>
      <c r="G84" s="15">
        <v>818651986</v>
      </c>
      <c r="H84" s="16">
        <v>0</v>
      </c>
      <c r="I84" s="16">
        <v>0</v>
      </c>
      <c r="J84" s="16">
        <v>0</v>
      </c>
      <c r="K84" s="16">
        <v>0</v>
      </c>
      <c r="L84" s="13" t="s">
        <v>259</v>
      </c>
      <c r="M84" s="17">
        <v>0</v>
      </c>
      <c r="N84" s="16"/>
      <c r="O84" s="16"/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8">
        <v>0</v>
      </c>
      <c r="AO84" s="18">
        <v>0</v>
      </c>
      <c r="AP84" s="18">
        <f>ROUNDDOWN(AN84,-3)</f>
        <v>0</v>
      </c>
      <c r="AQ84" s="18"/>
      <c r="AR84" s="18">
        <f>+H84*AQ84</f>
        <v>0</v>
      </c>
      <c r="AS84" s="19">
        <f>IF(H84=0,0,IF(AP84=(H84*6),"Smt-1 Lunas",IF(AP84=(H84*12),"SY2627 Lunas",AP84/AR84)))</f>
        <v>0</v>
      </c>
    </row>
    <row r="85" spans="1:45" ht="15" customHeight="1" x14ac:dyDescent="0.2">
      <c r="A85" s="7"/>
      <c r="B85" s="13">
        <v>135</v>
      </c>
      <c r="C85" s="13" t="s">
        <v>192</v>
      </c>
      <c r="D85" s="13" t="s">
        <v>319</v>
      </c>
      <c r="E85" s="14">
        <v>34140408</v>
      </c>
      <c r="F85" s="15">
        <v>68605336518</v>
      </c>
      <c r="G85" s="15">
        <v>811336518</v>
      </c>
      <c r="H85" s="16">
        <v>0</v>
      </c>
      <c r="I85" s="16">
        <v>0</v>
      </c>
      <c r="J85" s="16">
        <v>0</v>
      </c>
      <c r="K85" s="16">
        <v>0</v>
      </c>
      <c r="L85" s="13" t="s">
        <v>259</v>
      </c>
      <c r="M85" s="17">
        <v>0</v>
      </c>
      <c r="N85" s="16"/>
      <c r="O85" s="16"/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8">
        <v>0</v>
      </c>
      <c r="AO85" s="18">
        <v>0</v>
      </c>
      <c r="AP85" s="18">
        <f>ROUNDDOWN(AN85,-3)</f>
        <v>0</v>
      </c>
      <c r="AQ85" s="18"/>
      <c r="AR85" s="18">
        <f>+H85*AQ85</f>
        <v>0</v>
      </c>
      <c r="AS85" s="19">
        <f>IF(H85=0,0,IF(AP85=(H85*6),"Smt-1 Lunas",IF(AP85=(H85*12),"SY2627 Lunas",AP85/AR85)))</f>
        <v>0</v>
      </c>
    </row>
    <row r="86" spans="1:45" ht="15" customHeight="1" x14ac:dyDescent="0.2">
      <c r="A86" s="7"/>
      <c r="B86" s="13">
        <v>159</v>
      </c>
      <c r="C86" s="13" t="s">
        <v>139</v>
      </c>
      <c r="D86" s="13" t="s">
        <v>293</v>
      </c>
      <c r="E86" s="14">
        <v>34140433</v>
      </c>
      <c r="F86" s="15">
        <v>68605421633</v>
      </c>
      <c r="G86" s="15">
        <v>85210421633</v>
      </c>
      <c r="H86" s="16">
        <v>1000000</v>
      </c>
      <c r="I86" s="16" t="s">
        <v>223</v>
      </c>
      <c r="J86" s="16">
        <v>2</v>
      </c>
      <c r="K86" s="16">
        <v>0</v>
      </c>
      <c r="L86" s="13" t="s">
        <v>259</v>
      </c>
      <c r="M86" s="17">
        <v>46174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8">
        <v>0</v>
      </c>
      <c r="AO86" s="18">
        <v>0</v>
      </c>
      <c r="AP86" s="18">
        <f>ROUNDDOWN(AN86,-3)</f>
        <v>0</v>
      </c>
      <c r="AQ86" s="18">
        <f ca="1">DATEDIF(M86,AS$1, "m")+1</f>
        <v>4</v>
      </c>
      <c r="AR86" s="18">
        <f ca="1">+H86*AQ86</f>
        <v>4000000</v>
      </c>
      <c r="AS86" s="19">
        <f ca="1">IF(H86=0,0,IF(AP86=(H86*6),"Smt-1 Lunas",IF(AP86=(H86*12),"SY2627 Lunas",AP86/AR86)))</f>
        <v>0</v>
      </c>
    </row>
    <row r="87" spans="1:45" ht="15" customHeight="1" x14ac:dyDescent="0.2">
      <c r="B87" s="13">
        <v>119</v>
      </c>
      <c r="C87" s="13" t="s">
        <v>199</v>
      </c>
      <c r="D87" s="13" t="s">
        <v>324</v>
      </c>
      <c r="E87" s="14">
        <v>34140391</v>
      </c>
      <c r="F87" s="15">
        <v>68605063807</v>
      </c>
      <c r="G87" s="15">
        <v>8121063807</v>
      </c>
      <c r="H87" s="16">
        <v>750000</v>
      </c>
      <c r="I87" s="16" t="s">
        <v>230</v>
      </c>
      <c r="J87" s="16">
        <v>1</v>
      </c>
      <c r="K87" s="16">
        <v>1</v>
      </c>
      <c r="L87" s="13" t="s">
        <v>237</v>
      </c>
      <c r="M87" s="17">
        <v>46204</v>
      </c>
      <c r="N87" s="16"/>
      <c r="O87" s="16"/>
      <c r="P87" s="16">
        <v>0</v>
      </c>
      <c r="Q87" s="16">
        <v>0</v>
      </c>
      <c r="R87" s="16">
        <v>0</v>
      </c>
      <c r="S87" s="16">
        <v>0</v>
      </c>
      <c r="T87" s="16">
        <v>4500391</v>
      </c>
      <c r="U87" s="16">
        <v>1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8">
        <v>4500391</v>
      </c>
      <c r="AO87" s="18">
        <v>1</v>
      </c>
      <c r="AP87" s="18">
        <f>ROUNDDOWN(AN87,-3)</f>
        <v>4500000</v>
      </c>
      <c r="AQ87" s="18"/>
      <c r="AR87" s="18">
        <f>+H87*AQ87</f>
        <v>0</v>
      </c>
      <c r="AS87" s="19" t="str">
        <f>IF(H87=0,0,IF(AP87=(H87*6),"Smt-1 Lunas",IF(AP87=(H87*12),"SY2627 Lunas",AP87/AR87)))</f>
        <v>Smt-1 Lunas</v>
      </c>
    </row>
    <row r="88" spans="1:45" ht="15" customHeight="1" x14ac:dyDescent="0.2">
      <c r="B88" s="13">
        <v>148</v>
      </c>
      <c r="C88" s="13" t="s">
        <v>130</v>
      </c>
      <c r="D88" s="13" t="s">
        <v>130</v>
      </c>
      <c r="E88" s="14">
        <v>34140421</v>
      </c>
      <c r="F88" s="15">
        <v>68605400924</v>
      </c>
      <c r="G88" s="15">
        <v>81381400924</v>
      </c>
      <c r="H88" s="16">
        <v>1000000</v>
      </c>
      <c r="I88" s="16" t="s">
        <v>241</v>
      </c>
      <c r="J88" s="16">
        <v>1</v>
      </c>
      <c r="K88" s="16">
        <v>2</v>
      </c>
      <c r="L88" s="13" t="s">
        <v>237</v>
      </c>
      <c r="M88" s="17">
        <v>46204</v>
      </c>
      <c r="N88" s="16"/>
      <c r="O88" s="16"/>
      <c r="P88" s="16">
        <v>3000421</v>
      </c>
      <c r="Q88" s="16">
        <v>1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8">
        <v>3000421</v>
      </c>
      <c r="AO88" s="18">
        <v>1</v>
      </c>
      <c r="AP88" s="18">
        <f>ROUNDDOWN(AN88,-3)</f>
        <v>3000000</v>
      </c>
      <c r="AQ88" s="18">
        <f ca="1">DATEDIF(M88,AS$1, "m")+1</f>
        <v>3</v>
      </c>
      <c r="AR88" s="18">
        <f ca="1">+H88*AQ88</f>
        <v>3000000</v>
      </c>
      <c r="AS88" s="19">
        <f ca="1">IF(H88=0,0,IF(AP88=(H88*6),"Smt-1 Lunas",IF(AP88=(H88*12),"SY2627 Lunas",AP88/AR88)))</f>
        <v>1</v>
      </c>
    </row>
    <row r="89" spans="1:45" ht="15" customHeight="1" x14ac:dyDescent="0.2">
      <c r="B89" s="13">
        <v>32</v>
      </c>
      <c r="C89" s="13" t="s">
        <v>52</v>
      </c>
      <c r="D89" s="13" t="s">
        <v>52</v>
      </c>
      <c r="E89" s="14">
        <v>34140103</v>
      </c>
      <c r="F89" s="15">
        <v>68605976865</v>
      </c>
      <c r="G89" s="15">
        <v>8161976865</v>
      </c>
      <c r="H89" s="16">
        <v>1000000</v>
      </c>
      <c r="I89" s="16" t="s">
        <v>223</v>
      </c>
      <c r="J89" s="16">
        <v>1</v>
      </c>
      <c r="K89" s="16">
        <v>2</v>
      </c>
      <c r="L89" s="13" t="s">
        <v>237</v>
      </c>
      <c r="M89" s="17">
        <v>46204</v>
      </c>
      <c r="N89" s="16"/>
      <c r="O89" s="16"/>
      <c r="P89" s="16">
        <v>1000103</v>
      </c>
      <c r="Q89" s="16">
        <v>1</v>
      </c>
      <c r="R89" s="16">
        <v>1000000</v>
      </c>
      <c r="S89" s="16">
        <v>1</v>
      </c>
      <c r="T89" s="16">
        <v>1000000</v>
      </c>
      <c r="U89" s="16">
        <v>1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8">
        <v>3000103</v>
      </c>
      <c r="AO89" s="18">
        <v>3</v>
      </c>
      <c r="AP89" s="18">
        <f>ROUNDDOWN(AN89,-3)</f>
        <v>3000000</v>
      </c>
      <c r="AQ89" s="18">
        <f ca="1">DATEDIF(M89,AS$1, "m")+1</f>
        <v>3</v>
      </c>
      <c r="AR89" s="18">
        <f ca="1">+H89*AQ89</f>
        <v>3000000</v>
      </c>
      <c r="AS89" s="19">
        <f ca="1">IF(H89=0,0,IF(AP89=(H89*6),"Smt-1 Lunas",IF(AP89=(H89*12),"SY2627 Lunas",AP89/AR89)))</f>
        <v>1</v>
      </c>
    </row>
    <row r="90" spans="1:45" ht="15" customHeight="1" x14ac:dyDescent="0.2">
      <c r="B90" s="13">
        <v>105</v>
      </c>
      <c r="C90" s="13" t="s">
        <v>105</v>
      </c>
      <c r="D90" s="13" t="s">
        <v>279</v>
      </c>
      <c r="E90" s="14">
        <v>34140340</v>
      </c>
      <c r="F90" s="15">
        <v>68605336633</v>
      </c>
      <c r="G90" s="15">
        <v>8111336633</v>
      </c>
      <c r="H90" s="16">
        <v>1000000</v>
      </c>
      <c r="I90" s="16" t="s">
        <v>223</v>
      </c>
      <c r="J90" s="16">
        <v>2</v>
      </c>
      <c r="K90" s="16">
        <v>0</v>
      </c>
      <c r="L90" s="13" t="s">
        <v>237</v>
      </c>
      <c r="M90" s="17">
        <v>46204</v>
      </c>
      <c r="N90" s="16"/>
      <c r="O90" s="16"/>
      <c r="P90" s="16">
        <v>1000000</v>
      </c>
      <c r="Q90" s="16">
        <v>1</v>
      </c>
      <c r="R90" s="16">
        <v>1000000</v>
      </c>
      <c r="S90" s="16">
        <v>1</v>
      </c>
      <c r="T90" s="16">
        <v>1000000</v>
      </c>
      <c r="U90" s="16">
        <v>1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8">
        <v>3000000</v>
      </c>
      <c r="AO90" s="18">
        <v>3</v>
      </c>
      <c r="AP90" s="18">
        <f>ROUNDDOWN(AN90,-3)</f>
        <v>3000000</v>
      </c>
      <c r="AQ90" s="18">
        <f ca="1">DATEDIF(M90,AS$1, "m")+1</f>
        <v>3</v>
      </c>
      <c r="AR90" s="18">
        <f ca="1">+H90*AQ90</f>
        <v>3000000</v>
      </c>
      <c r="AS90" s="19">
        <f ca="1">IF(H90=0,0,IF(AP90=(H90*6),"Smt-1 Lunas",IF(AP90=(H90*12),"SY2627 Lunas",AP90/AR90)))</f>
        <v>1</v>
      </c>
    </row>
    <row r="91" spans="1:45" ht="15" customHeight="1" x14ac:dyDescent="0.2">
      <c r="B91" s="13">
        <v>128</v>
      </c>
      <c r="C91" s="13" t="s">
        <v>118</v>
      </c>
      <c r="D91" s="13" t="s">
        <v>118</v>
      </c>
      <c r="E91" s="14">
        <v>34140401</v>
      </c>
      <c r="F91" s="15">
        <v>68605507591</v>
      </c>
      <c r="G91" s="15">
        <v>81806507591</v>
      </c>
      <c r="H91" s="16">
        <v>250000</v>
      </c>
      <c r="I91" s="16" t="s">
        <v>225</v>
      </c>
      <c r="J91" s="16">
        <v>0</v>
      </c>
      <c r="K91" s="16">
        <v>1</v>
      </c>
      <c r="L91" s="13" t="s">
        <v>237</v>
      </c>
      <c r="M91" s="17">
        <v>46204</v>
      </c>
      <c r="N91" s="16"/>
      <c r="O91" s="16"/>
      <c r="P91" s="16">
        <v>3000000</v>
      </c>
      <c r="Q91" s="16">
        <v>1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8">
        <v>3000000</v>
      </c>
      <c r="AO91" s="18">
        <v>1</v>
      </c>
      <c r="AP91" s="18">
        <f>ROUNDDOWN(AN91,-3)</f>
        <v>3000000</v>
      </c>
      <c r="AQ91" s="18">
        <f ca="1">DATEDIF(M91,AS$1, "m")+1</f>
        <v>3</v>
      </c>
      <c r="AR91" s="18">
        <f ca="1">+H91*AQ91</f>
        <v>750000</v>
      </c>
      <c r="AS91" s="19" t="str">
        <f>IF(H91=0,0,IF(AP91=(H91*6),"Smt-1 Lunas",IF(AP91=(H91*12),"SY2627 Lunas",AP91/AR91)))</f>
        <v>SY2627 Lunas</v>
      </c>
    </row>
    <row r="92" spans="1:45" ht="15" customHeight="1" x14ac:dyDescent="0.2">
      <c r="B92" s="13">
        <v>127</v>
      </c>
      <c r="C92" s="13" t="s">
        <v>201</v>
      </c>
      <c r="D92" s="13" t="s">
        <v>201</v>
      </c>
      <c r="E92" s="14">
        <v>34140400</v>
      </c>
      <c r="F92" s="15">
        <v>68605329915</v>
      </c>
      <c r="G92" s="15">
        <v>8561329915</v>
      </c>
      <c r="H92" s="16">
        <v>750000</v>
      </c>
      <c r="I92" s="16" t="s">
        <v>241</v>
      </c>
      <c r="J92" s="16">
        <v>1</v>
      </c>
      <c r="K92" s="16">
        <v>1</v>
      </c>
      <c r="L92" s="13" t="s">
        <v>237</v>
      </c>
      <c r="M92" s="17">
        <v>46296</v>
      </c>
      <c r="N92" s="16"/>
      <c r="O92" s="16"/>
      <c r="P92" s="16">
        <v>0</v>
      </c>
      <c r="Q92" s="16">
        <v>0</v>
      </c>
      <c r="R92" s="16">
        <v>0</v>
      </c>
      <c r="S92" s="16">
        <v>0</v>
      </c>
      <c r="T92" s="16">
        <v>2250000</v>
      </c>
      <c r="U92" s="16">
        <v>1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8">
        <v>2250000</v>
      </c>
      <c r="AO92" s="18">
        <v>1</v>
      </c>
      <c r="AP92" s="18">
        <f>ROUNDDOWN(AN92,-3)</f>
        <v>2250000</v>
      </c>
      <c r="AQ92" s="18"/>
      <c r="AR92" s="18">
        <f>+H92*AQ92</f>
        <v>0</v>
      </c>
      <c r="AS92" s="19" t="e">
        <f>IF(H92=0,0,IF(AP92=(H92*6),"Smt-1 Lunas",IF(AP92=(H92*12),"SY2627 Lunas",AP92/AR92)))</f>
        <v>#DIV/0!</v>
      </c>
    </row>
    <row r="93" spans="1:45" ht="15" customHeight="1" x14ac:dyDescent="0.2">
      <c r="B93" s="13">
        <v>142</v>
      </c>
      <c r="C93" s="13" t="s">
        <v>126</v>
      </c>
      <c r="D93" s="13" t="s">
        <v>126</v>
      </c>
      <c r="E93" s="14">
        <v>34140415</v>
      </c>
      <c r="F93" s="15">
        <v>68605829889</v>
      </c>
      <c r="G93" s="15">
        <v>816829889</v>
      </c>
      <c r="H93" s="16">
        <v>500000</v>
      </c>
      <c r="I93" s="16" t="s">
        <v>223</v>
      </c>
      <c r="J93" s="16">
        <v>1</v>
      </c>
      <c r="K93" s="16">
        <v>0</v>
      </c>
      <c r="L93" s="13" t="s">
        <v>237</v>
      </c>
      <c r="M93" s="17">
        <v>46204</v>
      </c>
      <c r="N93" s="16"/>
      <c r="O93" s="16"/>
      <c r="P93" s="16">
        <v>1000830</v>
      </c>
      <c r="Q93" s="16">
        <v>2</v>
      </c>
      <c r="R93" s="16">
        <v>0</v>
      </c>
      <c r="S93" s="16">
        <v>0</v>
      </c>
      <c r="T93" s="16">
        <v>1000000</v>
      </c>
      <c r="U93" s="16">
        <v>2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8">
        <v>2000830</v>
      </c>
      <c r="AO93" s="18">
        <v>4</v>
      </c>
      <c r="AP93" s="18">
        <f>ROUNDDOWN(AN93,-3)</f>
        <v>2000000</v>
      </c>
      <c r="AQ93" s="18">
        <f ca="1">DATEDIF(M93,AS$1, "m")+1</f>
        <v>3</v>
      </c>
      <c r="AR93" s="18">
        <f ca="1">+H93*AQ93</f>
        <v>1500000</v>
      </c>
      <c r="AS93" s="19">
        <f ca="1">IF(H93=0,0,IF(AP93=(H93*6),"Smt-1 Lunas",IF(AP93=(H93*12),"SY2627 Lunas",AP93/AR93)))</f>
        <v>1.3333333333333333</v>
      </c>
    </row>
    <row r="94" spans="1:45" ht="15" customHeight="1" x14ac:dyDescent="0.2">
      <c r="B94" s="13">
        <v>138</v>
      </c>
      <c r="C94" s="13" t="s">
        <v>123</v>
      </c>
      <c r="D94" s="13" t="s">
        <v>288</v>
      </c>
      <c r="E94" s="14">
        <v>34140411</v>
      </c>
      <c r="F94" s="15">
        <v>68605477477</v>
      </c>
      <c r="G94" s="15">
        <v>81932477476</v>
      </c>
      <c r="H94" s="16">
        <v>1000000</v>
      </c>
      <c r="I94" s="16" t="s">
        <v>223</v>
      </c>
      <c r="J94" s="16">
        <v>2</v>
      </c>
      <c r="K94" s="16">
        <v>0</v>
      </c>
      <c r="L94" s="13" t="s">
        <v>237</v>
      </c>
      <c r="M94" s="17">
        <v>46204</v>
      </c>
      <c r="N94" s="16"/>
      <c r="O94" s="16"/>
      <c r="P94" s="16">
        <v>1000411</v>
      </c>
      <c r="Q94" s="16">
        <v>1</v>
      </c>
      <c r="R94" s="16">
        <v>1000411</v>
      </c>
      <c r="S94" s="16">
        <v>1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8">
        <v>2000822</v>
      </c>
      <c r="AO94" s="18">
        <v>2</v>
      </c>
      <c r="AP94" s="18">
        <f>ROUNDDOWN(AN94,-3)</f>
        <v>2000000</v>
      </c>
      <c r="AQ94" s="18">
        <f ca="1">DATEDIF(M94,AS$1, "m")+1</f>
        <v>3</v>
      </c>
      <c r="AR94" s="18">
        <f ca="1">+H94*AQ94</f>
        <v>3000000</v>
      </c>
      <c r="AS94" s="19">
        <f ca="1">IF(H94=0,0,IF(AP94=(H94*6),"Smt-1 Lunas",IF(AP94=(H94*12),"SY2627 Lunas",AP94/AR94)))</f>
        <v>0.66666666666666663</v>
      </c>
    </row>
    <row r="95" spans="1:45" ht="15" customHeight="1" x14ac:dyDescent="0.2">
      <c r="B95" s="13">
        <v>133</v>
      </c>
      <c r="C95" s="13" t="s">
        <v>120</v>
      </c>
      <c r="D95" s="13" t="s">
        <v>285</v>
      </c>
      <c r="E95" s="14">
        <v>34140406</v>
      </c>
      <c r="F95" s="15">
        <v>68605111764</v>
      </c>
      <c r="G95" s="15">
        <v>811111764</v>
      </c>
      <c r="H95" s="16">
        <v>1000000</v>
      </c>
      <c r="I95" s="16" t="s">
        <v>223</v>
      </c>
      <c r="J95" s="16">
        <v>1</v>
      </c>
      <c r="K95" s="16">
        <v>2</v>
      </c>
      <c r="L95" s="13" t="s">
        <v>237</v>
      </c>
      <c r="M95" s="17">
        <v>46204</v>
      </c>
      <c r="N95" s="16"/>
      <c r="O95" s="16"/>
      <c r="P95" s="16">
        <v>1000406</v>
      </c>
      <c r="Q95" s="16">
        <v>1</v>
      </c>
      <c r="R95" s="16">
        <v>1000000</v>
      </c>
      <c r="S95" s="16">
        <v>1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8">
        <v>2000406</v>
      </c>
      <c r="AO95" s="18">
        <v>2</v>
      </c>
      <c r="AP95" s="18">
        <f>ROUNDDOWN(AN95,-3)</f>
        <v>2000000</v>
      </c>
      <c r="AQ95" s="18">
        <f ca="1">DATEDIF(M95,AS$1, "m")+1</f>
        <v>3</v>
      </c>
      <c r="AR95" s="18">
        <f ca="1">+H95*AQ95</f>
        <v>3000000</v>
      </c>
      <c r="AS95" s="19">
        <f ca="1">IF(H95=0,0,IF(AP95=(H95*6),"Smt-1 Lunas",IF(AP95=(H95*12),"SY2627 Lunas",AP95/AR95)))</f>
        <v>0.66666666666666663</v>
      </c>
    </row>
    <row r="96" spans="1:45" ht="15" customHeight="1" x14ac:dyDescent="0.2">
      <c r="B96" s="13">
        <v>169</v>
      </c>
      <c r="C96" s="13" t="s">
        <v>149</v>
      </c>
      <c r="D96" s="13" t="s">
        <v>297</v>
      </c>
      <c r="E96" s="14">
        <v>34140443</v>
      </c>
      <c r="F96" s="15">
        <v>68605927997</v>
      </c>
      <c r="G96" s="15">
        <v>8129927997</v>
      </c>
      <c r="H96" s="16">
        <v>500000</v>
      </c>
      <c r="I96" s="16" t="s">
        <v>223</v>
      </c>
      <c r="J96" s="16">
        <v>1</v>
      </c>
      <c r="K96" s="16">
        <v>0</v>
      </c>
      <c r="L96" s="13" t="s">
        <v>237</v>
      </c>
      <c r="M96" s="17">
        <v>46174</v>
      </c>
      <c r="N96" s="16">
        <v>500000</v>
      </c>
      <c r="O96" s="16">
        <v>1</v>
      </c>
      <c r="P96" s="16">
        <v>500000</v>
      </c>
      <c r="Q96" s="16">
        <v>1</v>
      </c>
      <c r="R96" s="16">
        <v>0</v>
      </c>
      <c r="S96" s="16">
        <v>0</v>
      </c>
      <c r="T96" s="16">
        <v>1000000</v>
      </c>
      <c r="U96" s="16">
        <v>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8">
        <v>2000000</v>
      </c>
      <c r="AO96" s="18">
        <v>3</v>
      </c>
      <c r="AP96" s="18">
        <f>ROUNDDOWN(AN96,-3)</f>
        <v>2000000</v>
      </c>
      <c r="AQ96" s="18">
        <f ca="1">DATEDIF(M96,AS$1, "m")+1</f>
        <v>4</v>
      </c>
      <c r="AR96" s="18">
        <f ca="1">+H96*AQ96</f>
        <v>2000000</v>
      </c>
      <c r="AS96" s="19">
        <f ca="1">IF(H96=0,0,IF(AP96=(H96*6),"Smt-1 Lunas",IF(AP96=(H96*12),"SY2627 Lunas",AP96/AR96)))</f>
        <v>1</v>
      </c>
    </row>
    <row r="97" spans="1:45" ht="15" customHeight="1" x14ac:dyDescent="0.2">
      <c r="B97" s="13">
        <v>90</v>
      </c>
      <c r="C97" s="13" t="s">
        <v>97</v>
      </c>
      <c r="D97" s="13" t="s">
        <v>97</v>
      </c>
      <c r="E97" s="14">
        <v>34140259</v>
      </c>
      <c r="F97" s="15">
        <v>68605611023</v>
      </c>
      <c r="G97" s="15">
        <v>811884404</v>
      </c>
      <c r="H97" s="16">
        <v>500000</v>
      </c>
      <c r="I97" s="16" t="s">
        <v>223</v>
      </c>
      <c r="J97" s="16">
        <v>0</v>
      </c>
      <c r="K97" s="16">
        <v>2</v>
      </c>
      <c r="L97" s="13" t="s">
        <v>237</v>
      </c>
      <c r="M97" s="17">
        <v>46204</v>
      </c>
      <c r="N97" s="16"/>
      <c r="O97" s="16"/>
      <c r="P97" s="16">
        <v>500259</v>
      </c>
      <c r="Q97" s="16">
        <v>1</v>
      </c>
      <c r="R97" s="16">
        <v>500259</v>
      </c>
      <c r="S97" s="16">
        <v>1</v>
      </c>
      <c r="T97" s="16">
        <v>500259</v>
      </c>
      <c r="U97" s="16">
        <v>1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8">
        <v>1500777</v>
      </c>
      <c r="AO97" s="18">
        <v>3</v>
      </c>
      <c r="AP97" s="18">
        <f>ROUNDDOWN(AN97,-3)</f>
        <v>1500000</v>
      </c>
      <c r="AQ97" s="18">
        <f ca="1">DATEDIF(M97,AS$1, "m")+1</f>
        <v>3</v>
      </c>
      <c r="AR97" s="18">
        <f ca="1">+H97*AQ97</f>
        <v>1500000</v>
      </c>
      <c r="AS97" s="19">
        <f ca="1">IF(H97=0,0,IF(AP97=(H97*6),"Smt-1 Lunas",IF(AP97=(H97*12),"SY2627 Lunas",AP97/AR97)))</f>
        <v>1</v>
      </c>
    </row>
    <row r="98" spans="1:45" ht="15" customHeight="1" x14ac:dyDescent="0.2">
      <c r="B98" s="13">
        <v>143</v>
      </c>
      <c r="C98" s="13" t="s">
        <v>127</v>
      </c>
      <c r="D98" s="13" t="s">
        <v>290</v>
      </c>
      <c r="E98" s="14">
        <v>34140416</v>
      </c>
      <c r="F98" s="15">
        <v>68605036545</v>
      </c>
      <c r="G98" s="15">
        <v>81212036545</v>
      </c>
      <c r="H98" s="16">
        <v>250000</v>
      </c>
      <c r="I98" s="16" t="s">
        <v>223</v>
      </c>
      <c r="J98" s="16">
        <v>0</v>
      </c>
      <c r="K98" s="16">
        <v>1</v>
      </c>
      <c r="L98" s="13" t="s">
        <v>237</v>
      </c>
      <c r="M98" s="17">
        <v>46204</v>
      </c>
      <c r="N98" s="16"/>
      <c r="O98" s="16"/>
      <c r="P98" s="16">
        <v>1500416</v>
      </c>
      <c r="Q98" s="16">
        <v>1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8">
        <v>1500416</v>
      </c>
      <c r="AO98" s="18">
        <v>1</v>
      </c>
      <c r="AP98" s="18">
        <f>ROUNDDOWN(AN98,-3)</f>
        <v>1500000</v>
      </c>
      <c r="AQ98" s="18">
        <f ca="1">DATEDIF(M98,AS$1, "m")+1</f>
        <v>3</v>
      </c>
      <c r="AR98" s="18">
        <f ca="1">+H98*AQ98</f>
        <v>750000</v>
      </c>
      <c r="AS98" s="19" t="str">
        <f>IF(H98=0,0,IF(AP98=(H98*6),"Smt-1 Lunas",IF(AP98=(H98*12),"SY2627 Lunas",AP98/AR98)))</f>
        <v>Smt-1 Lunas</v>
      </c>
    </row>
    <row r="99" spans="1:45" ht="15" customHeight="1" x14ac:dyDescent="0.2">
      <c r="B99" s="13">
        <v>146</v>
      </c>
      <c r="C99" s="13" t="s">
        <v>129</v>
      </c>
      <c r="D99" s="13" t="s">
        <v>129</v>
      </c>
      <c r="E99" s="14">
        <v>34140419</v>
      </c>
      <c r="F99" s="15">
        <v>68605110742</v>
      </c>
      <c r="G99" s="15">
        <v>83806110742</v>
      </c>
      <c r="H99" s="16">
        <v>250000</v>
      </c>
      <c r="I99" s="16" t="s">
        <v>230</v>
      </c>
      <c r="J99" s="16">
        <v>0</v>
      </c>
      <c r="K99" s="16">
        <v>1</v>
      </c>
      <c r="L99" s="13" t="s">
        <v>237</v>
      </c>
      <c r="M99" s="17">
        <v>46204</v>
      </c>
      <c r="N99" s="16"/>
      <c r="O99" s="16"/>
      <c r="P99" s="16">
        <v>0</v>
      </c>
      <c r="Q99" s="16">
        <v>0</v>
      </c>
      <c r="R99" s="16">
        <v>1500000</v>
      </c>
      <c r="S99" s="16">
        <v>1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8">
        <v>1500000</v>
      </c>
      <c r="AO99" s="18">
        <v>1</v>
      </c>
      <c r="AP99" s="18">
        <f>ROUNDDOWN(AN99,-3)</f>
        <v>1500000</v>
      </c>
      <c r="AQ99" s="18">
        <f ca="1">DATEDIF(M99,AS$1, "m")+1</f>
        <v>3</v>
      </c>
      <c r="AR99" s="18">
        <f ca="1">+H99*AQ99</f>
        <v>750000</v>
      </c>
      <c r="AS99" s="19" t="str">
        <f>IF(H99=0,0,IF(AP99=(H99*6),"Smt-1 Lunas",IF(AP99=(H99*12),"SY2627 Lunas",AP99/AR99)))</f>
        <v>Smt-1 Lunas</v>
      </c>
    </row>
    <row r="100" spans="1:45" ht="15" customHeight="1" x14ac:dyDescent="0.2">
      <c r="B100" s="13">
        <v>156</v>
      </c>
      <c r="C100" s="13" t="s">
        <v>136</v>
      </c>
      <c r="D100" s="13" t="s">
        <v>292</v>
      </c>
      <c r="E100" s="14">
        <v>34140430</v>
      </c>
      <c r="F100" s="15">
        <v>68605539201</v>
      </c>
      <c r="G100" s="15">
        <v>81222539201</v>
      </c>
      <c r="H100" s="16">
        <v>500000</v>
      </c>
      <c r="I100" s="16" t="s">
        <v>223</v>
      </c>
      <c r="J100" s="16">
        <v>0</v>
      </c>
      <c r="K100" s="16">
        <v>2</v>
      </c>
      <c r="L100" s="13" t="s">
        <v>237</v>
      </c>
      <c r="M100" s="17">
        <v>46174</v>
      </c>
      <c r="N100" s="16">
        <v>500000</v>
      </c>
      <c r="O100" s="16">
        <v>1</v>
      </c>
      <c r="P100" s="16">
        <v>0</v>
      </c>
      <c r="Q100" s="16">
        <v>0</v>
      </c>
      <c r="R100" s="16">
        <v>500000</v>
      </c>
      <c r="S100" s="16">
        <v>1</v>
      </c>
      <c r="T100" s="16">
        <v>500000</v>
      </c>
      <c r="U100" s="16">
        <v>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8">
        <v>1500000</v>
      </c>
      <c r="AO100" s="18">
        <v>3</v>
      </c>
      <c r="AP100" s="18">
        <f>ROUNDDOWN(AN100,-3)</f>
        <v>1500000</v>
      </c>
      <c r="AQ100" s="18">
        <f ca="1">DATEDIF(M100,AS$1, "m")+1</f>
        <v>4</v>
      </c>
      <c r="AR100" s="18">
        <f ca="1">+H100*AQ100</f>
        <v>2000000</v>
      </c>
      <c r="AS100" s="19">
        <f ca="1">IF(H100=0,0,IF(AP100=(H100*6),"Smt-1 Lunas",IF(AP100=(H100*12),"SY2627 Lunas",AP100/AR100)))</f>
        <v>0.75</v>
      </c>
    </row>
    <row r="101" spans="1:45" ht="15" customHeight="1" x14ac:dyDescent="0.2">
      <c r="B101" s="13">
        <v>161</v>
      </c>
      <c r="C101" s="13" t="s">
        <v>141</v>
      </c>
      <c r="D101" s="13" t="s">
        <v>294</v>
      </c>
      <c r="E101" s="14">
        <v>34140435</v>
      </c>
      <c r="F101" s="15">
        <v>68605466660</v>
      </c>
      <c r="G101" s="15">
        <v>81289466660</v>
      </c>
      <c r="H101" s="16">
        <v>250000</v>
      </c>
      <c r="I101" s="16" t="s">
        <v>223</v>
      </c>
      <c r="J101" s="16">
        <v>0</v>
      </c>
      <c r="K101" s="16">
        <v>1</v>
      </c>
      <c r="L101" s="13" t="s">
        <v>237</v>
      </c>
      <c r="M101" s="17">
        <v>46174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1500000</v>
      </c>
      <c r="U101" s="16">
        <v>1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8">
        <v>1500000</v>
      </c>
      <c r="AO101" s="18">
        <v>1</v>
      </c>
      <c r="AP101" s="18">
        <f>ROUNDDOWN(AN101,-3)</f>
        <v>1500000</v>
      </c>
      <c r="AQ101" s="18">
        <f ca="1">DATEDIF(M101,AS$1, "m")+1</f>
        <v>4</v>
      </c>
      <c r="AR101" s="18">
        <f ca="1">+H101*AQ101</f>
        <v>1000000</v>
      </c>
      <c r="AS101" s="19" t="str">
        <f>IF(H101=0,0,IF(AP101=(H101*6),"Smt-1 Lunas",IF(AP101=(H101*12),"SY2627 Lunas",AP101/AR101)))</f>
        <v>Smt-1 Lunas</v>
      </c>
    </row>
    <row r="102" spans="1:45" ht="15" customHeight="1" x14ac:dyDescent="0.2">
      <c r="B102" s="13">
        <v>144</v>
      </c>
      <c r="C102" s="13" t="s">
        <v>128</v>
      </c>
      <c r="D102" s="13" t="s">
        <v>128</v>
      </c>
      <c r="E102" s="14">
        <v>34140417</v>
      </c>
      <c r="F102" s="15">
        <v>68605180415</v>
      </c>
      <c r="G102" s="15">
        <v>87839180415</v>
      </c>
      <c r="H102" s="16">
        <v>500000</v>
      </c>
      <c r="I102" s="16" t="s">
        <v>223</v>
      </c>
      <c r="J102" s="16">
        <v>0</v>
      </c>
      <c r="K102" s="16">
        <v>2</v>
      </c>
      <c r="L102" s="13" t="s">
        <v>237</v>
      </c>
      <c r="M102" s="17">
        <v>46204</v>
      </c>
      <c r="N102" s="16"/>
      <c r="O102" s="16"/>
      <c r="P102" s="16">
        <v>500000</v>
      </c>
      <c r="Q102" s="16">
        <v>1</v>
      </c>
      <c r="R102" s="16">
        <v>500000</v>
      </c>
      <c r="S102" s="16">
        <v>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8">
        <v>1000000</v>
      </c>
      <c r="AO102" s="18">
        <v>2</v>
      </c>
      <c r="AP102" s="18">
        <f>ROUNDDOWN(AN102,-3)</f>
        <v>1000000</v>
      </c>
      <c r="AQ102" s="18">
        <f ca="1">DATEDIF(M102,AS$1, "m")+1</f>
        <v>3</v>
      </c>
      <c r="AR102" s="18">
        <f ca="1">+H102*AQ102</f>
        <v>1500000</v>
      </c>
      <c r="AS102" s="19">
        <f ca="1">IF(H102=0,0,IF(AP102=(H102*6),"Smt-1 Lunas",IF(AP102=(H102*12),"SY2627 Lunas",AP102/AR102)))</f>
        <v>0.66666666666666663</v>
      </c>
    </row>
    <row r="103" spans="1:45" ht="15" customHeight="1" x14ac:dyDescent="0.2">
      <c r="B103" s="13">
        <v>152</v>
      </c>
      <c r="C103" s="13" t="s">
        <v>132</v>
      </c>
      <c r="D103" s="13" t="s">
        <v>132</v>
      </c>
      <c r="E103" s="14">
        <v>34140426</v>
      </c>
      <c r="F103" s="15">
        <v>68605703051</v>
      </c>
      <c r="G103" s="15">
        <v>81927703051</v>
      </c>
      <c r="H103" s="16">
        <v>250000</v>
      </c>
      <c r="I103" s="16" t="s">
        <v>223</v>
      </c>
      <c r="J103" s="16">
        <v>0</v>
      </c>
      <c r="K103" s="16">
        <v>1</v>
      </c>
      <c r="L103" s="13" t="s">
        <v>237</v>
      </c>
      <c r="M103" s="17">
        <v>46204</v>
      </c>
      <c r="N103" s="16"/>
      <c r="O103" s="16"/>
      <c r="P103" s="16">
        <v>0</v>
      </c>
      <c r="Q103" s="16">
        <v>0</v>
      </c>
      <c r="R103" s="16">
        <v>1000000</v>
      </c>
      <c r="S103" s="16">
        <v>2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8">
        <v>1000000</v>
      </c>
      <c r="AO103" s="18">
        <v>2</v>
      </c>
      <c r="AP103" s="18">
        <f>ROUNDDOWN(AN103,-3)</f>
        <v>1000000</v>
      </c>
      <c r="AQ103" s="18">
        <f ca="1">DATEDIF(M103,AS$1, "m")+1</f>
        <v>3</v>
      </c>
      <c r="AR103" s="18">
        <f ca="1">+H103*AQ103</f>
        <v>750000</v>
      </c>
      <c r="AS103" s="19">
        <f ca="1">IF(H103=0,0,IF(AP103=(H103*6),"Smt-1 Lunas",IF(AP103=(H103*12),"SY2627 Lunas",AP103/AR103)))</f>
        <v>1.3333333333333333</v>
      </c>
    </row>
    <row r="104" spans="1:45" ht="15" customHeight="1" x14ac:dyDescent="0.2">
      <c r="B104" s="13">
        <v>137</v>
      </c>
      <c r="C104" s="13" t="s">
        <v>122</v>
      </c>
      <c r="D104" s="13" t="s">
        <v>287</v>
      </c>
      <c r="E104" s="14">
        <v>34140410</v>
      </c>
      <c r="F104" s="15">
        <v>68605702565</v>
      </c>
      <c r="G104" s="15">
        <v>8159702565</v>
      </c>
      <c r="H104" s="16">
        <v>250000</v>
      </c>
      <c r="I104" s="16" t="s">
        <v>223</v>
      </c>
      <c r="J104" s="16">
        <v>0</v>
      </c>
      <c r="K104" s="16">
        <v>1</v>
      </c>
      <c r="L104" s="13" t="s">
        <v>237</v>
      </c>
      <c r="M104" s="17">
        <v>46204</v>
      </c>
      <c r="N104" s="16"/>
      <c r="O104" s="16"/>
      <c r="P104" s="16">
        <v>750410</v>
      </c>
      <c r="Q104" s="16">
        <v>1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8">
        <v>750410</v>
      </c>
      <c r="AO104" s="18">
        <v>1</v>
      </c>
      <c r="AP104" s="18">
        <f>ROUNDDOWN(AN104,-3)</f>
        <v>750000</v>
      </c>
      <c r="AQ104" s="18">
        <f ca="1">DATEDIF(M104,AS$1, "m")+1</f>
        <v>3</v>
      </c>
      <c r="AR104" s="18">
        <f ca="1">+H104*AQ104</f>
        <v>750000</v>
      </c>
      <c r="AS104" s="19">
        <f ca="1">IF(H104=0,0,IF(AP104=(H104*6),"Smt-1 Lunas",IF(AP104=(H104*12),"SY2627 Lunas",AP104/AR104)))</f>
        <v>1</v>
      </c>
    </row>
    <row r="105" spans="1:45" ht="15" customHeight="1" x14ac:dyDescent="0.2">
      <c r="B105" s="13">
        <v>26</v>
      </c>
      <c r="C105" s="13" t="s">
        <v>48</v>
      </c>
      <c r="D105" s="13" t="s">
        <v>236</v>
      </c>
      <c r="E105" s="14">
        <v>34140080</v>
      </c>
      <c r="F105" s="15">
        <v>68605167386</v>
      </c>
      <c r="G105" s="15">
        <v>8128167386</v>
      </c>
      <c r="H105" s="16">
        <v>250000</v>
      </c>
      <c r="I105" s="16" t="s">
        <v>223</v>
      </c>
      <c r="J105" s="16">
        <v>0</v>
      </c>
      <c r="K105" s="16">
        <v>1</v>
      </c>
      <c r="L105" s="13" t="s">
        <v>237</v>
      </c>
      <c r="M105" s="17">
        <v>46204</v>
      </c>
      <c r="N105" s="16"/>
      <c r="O105" s="16"/>
      <c r="P105" s="16">
        <v>250000</v>
      </c>
      <c r="Q105" s="16">
        <v>1</v>
      </c>
      <c r="R105" s="16">
        <v>250000</v>
      </c>
      <c r="S105" s="16">
        <v>1</v>
      </c>
      <c r="T105" s="16">
        <v>250000</v>
      </c>
      <c r="U105" s="16">
        <v>1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8">
        <v>750000</v>
      </c>
      <c r="AO105" s="18">
        <v>3</v>
      </c>
      <c r="AP105" s="18">
        <f>ROUNDDOWN(AN105,-3)</f>
        <v>750000</v>
      </c>
      <c r="AQ105" s="18">
        <f ca="1">DATEDIF(M105,AS$1, "m")+1</f>
        <v>3</v>
      </c>
      <c r="AR105" s="18">
        <f ca="1">+H105*AQ105</f>
        <v>750000</v>
      </c>
      <c r="AS105" s="19">
        <f ca="1">IF(H105=0,0,IF(AP105=(H105*6),"Smt-1 Lunas",IF(AP105=(H105*12),"SY2627 Lunas",AP105/AR105)))</f>
        <v>1</v>
      </c>
    </row>
    <row r="106" spans="1:45" ht="15" customHeight="1" x14ac:dyDescent="0.2">
      <c r="B106" s="13">
        <v>111</v>
      </c>
      <c r="C106" s="13" t="s">
        <v>108</v>
      </c>
      <c r="D106" s="13" t="s">
        <v>108</v>
      </c>
      <c r="E106" s="14">
        <v>34140375</v>
      </c>
      <c r="F106" s="15">
        <v>68605685277</v>
      </c>
      <c r="G106" s="15">
        <v>8128685277</v>
      </c>
      <c r="H106" s="16">
        <v>250000</v>
      </c>
      <c r="I106" s="16" t="s">
        <v>223</v>
      </c>
      <c r="J106" s="16">
        <v>0</v>
      </c>
      <c r="K106" s="16">
        <v>1</v>
      </c>
      <c r="L106" s="13" t="s">
        <v>237</v>
      </c>
      <c r="M106" s="17">
        <v>46204</v>
      </c>
      <c r="N106" s="16"/>
      <c r="O106" s="16"/>
      <c r="P106" s="16">
        <v>250000</v>
      </c>
      <c r="Q106" s="16">
        <v>1</v>
      </c>
      <c r="R106" s="16">
        <v>250000</v>
      </c>
      <c r="S106" s="16">
        <v>1</v>
      </c>
      <c r="T106" s="16">
        <v>250000</v>
      </c>
      <c r="U106" s="16">
        <v>1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8">
        <v>750000</v>
      </c>
      <c r="AO106" s="18">
        <v>3</v>
      </c>
      <c r="AP106" s="18">
        <f>ROUNDDOWN(AN106,-3)</f>
        <v>750000</v>
      </c>
      <c r="AQ106" s="18">
        <f ca="1">DATEDIF(M106,AS$1, "m")+1</f>
        <v>3</v>
      </c>
      <c r="AR106" s="18">
        <f ca="1">+H106*AQ106</f>
        <v>750000</v>
      </c>
      <c r="AS106" s="19">
        <f ca="1">IF(H106=0,0,IF(AP106=(H106*6),"Smt-1 Lunas",IF(AP106=(H106*12),"SY2627 Lunas",AP106/AR106)))</f>
        <v>1</v>
      </c>
    </row>
    <row r="107" spans="1:45" ht="15" customHeight="1" x14ac:dyDescent="0.2">
      <c r="B107" s="13">
        <v>120</v>
      </c>
      <c r="C107" s="13" t="s">
        <v>114</v>
      </c>
      <c r="D107" s="13" t="s">
        <v>114</v>
      </c>
      <c r="E107" s="14">
        <v>34140392</v>
      </c>
      <c r="F107" s="15">
        <v>68605404933</v>
      </c>
      <c r="G107" s="15">
        <v>81807404933</v>
      </c>
      <c r="H107" s="16">
        <v>250000</v>
      </c>
      <c r="I107" s="16" t="s">
        <v>223</v>
      </c>
      <c r="J107" s="16">
        <v>0</v>
      </c>
      <c r="K107" s="16">
        <v>1</v>
      </c>
      <c r="L107" s="13" t="s">
        <v>237</v>
      </c>
      <c r="M107" s="17">
        <v>46204</v>
      </c>
      <c r="N107" s="16"/>
      <c r="O107" s="16"/>
      <c r="P107" s="16">
        <v>250000</v>
      </c>
      <c r="Q107" s="16">
        <v>1</v>
      </c>
      <c r="R107" s="16">
        <v>250000</v>
      </c>
      <c r="S107" s="16">
        <v>1</v>
      </c>
      <c r="T107" s="16">
        <v>250000</v>
      </c>
      <c r="U107" s="16">
        <v>1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8">
        <v>750000</v>
      </c>
      <c r="AO107" s="18">
        <v>3</v>
      </c>
      <c r="AP107" s="18">
        <f>ROUNDDOWN(AN107,-3)</f>
        <v>750000</v>
      </c>
      <c r="AQ107" s="18">
        <f ca="1">DATEDIF(M107,AS$1, "m")+1</f>
        <v>3</v>
      </c>
      <c r="AR107" s="18">
        <f ca="1">+H107*AQ107</f>
        <v>750000</v>
      </c>
      <c r="AS107" s="19">
        <f ca="1">IF(H107=0,0,IF(AP107=(H107*6),"Smt-1 Lunas",IF(AP107=(H107*12),"SY2627 Lunas",AP107/AR107)))</f>
        <v>1</v>
      </c>
    </row>
    <row r="108" spans="1:45" ht="15" customHeight="1" x14ac:dyDescent="0.2">
      <c r="B108" s="13">
        <v>124</v>
      </c>
      <c r="C108" s="13" t="s">
        <v>117</v>
      </c>
      <c r="D108" s="13" t="s">
        <v>117</v>
      </c>
      <c r="E108" s="14">
        <v>34140396</v>
      </c>
      <c r="F108" s="15">
        <v>68605075552</v>
      </c>
      <c r="G108" s="15">
        <v>8121075552</v>
      </c>
      <c r="H108" s="16">
        <v>250000</v>
      </c>
      <c r="I108" s="16" t="s">
        <v>223</v>
      </c>
      <c r="J108" s="16">
        <v>0</v>
      </c>
      <c r="K108" s="16">
        <v>1</v>
      </c>
      <c r="L108" s="13" t="s">
        <v>237</v>
      </c>
      <c r="M108" s="17">
        <v>46204</v>
      </c>
      <c r="N108" s="16"/>
      <c r="O108" s="16"/>
      <c r="P108" s="16">
        <v>250000</v>
      </c>
      <c r="Q108" s="16">
        <v>1</v>
      </c>
      <c r="R108" s="16">
        <v>250000</v>
      </c>
      <c r="S108" s="16">
        <v>1</v>
      </c>
      <c r="T108" s="16">
        <v>250000</v>
      </c>
      <c r="U108" s="16">
        <v>1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8">
        <v>750000</v>
      </c>
      <c r="AO108" s="18">
        <v>3</v>
      </c>
      <c r="AP108" s="18">
        <f>ROUNDDOWN(AN108,-3)</f>
        <v>750000</v>
      </c>
      <c r="AQ108" s="18">
        <f ca="1">DATEDIF(M108,AS$1, "m")+1</f>
        <v>3</v>
      </c>
      <c r="AR108" s="18">
        <f ca="1">+H108*AQ108</f>
        <v>750000</v>
      </c>
      <c r="AS108" s="19">
        <f ca="1">IF(H108=0,0,IF(AP108=(H108*6),"Smt-1 Lunas",IF(AP108=(H108*12),"SY2627 Lunas",AP108/AR108)))</f>
        <v>1</v>
      </c>
    </row>
    <row r="109" spans="1:45" ht="15" customHeight="1" x14ac:dyDescent="0.2">
      <c r="B109" s="13">
        <v>174</v>
      </c>
      <c r="C109" s="13" t="s">
        <v>154</v>
      </c>
      <c r="D109" s="13" t="s">
        <v>300</v>
      </c>
      <c r="E109" s="14">
        <v>34140448</v>
      </c>
      <c r="F109" s="15">
        <v>68605635288</v>
      </c>
      <c r="G109" s="15">
        <v>8111635288</v>
      </c>
      <c r="H109" s="16">
        <v>250000</v>
      </c>
      <c r="I109" s="16" t="s">
        <v>223</v>
      </c>
      <c r="J109" s="16">
        <v>0</v>
      </c>
      <c r="K109" s="16">
        <v>1</v>
      </c>
      <c r="L109" s="13" t="s">
        <v>237</v>
      </c>
      <c r="M109" s="17">
        <v>46204</v>
      </c>
      <c r="N109" s="16">
        <v>0</v>
      </c>
      <c r="O109" s="16">
        <v>0</v>
      </c>
      <c r="P109" s="16">
        <v>250000</v>
      </c>
      <c r="Q109" s="16">
        <v>1</v>
      </c>
      <c r="R109" s="16">
        <v>250000</v>
      </c>
      <c r="S109" s="16">
        <v>1</v>
      </c>
      <c r="T109" s="16">
        <v>250000</v>
      </c>
      <c r="U109" s="16">
        <v>1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8">
        <v>750000</v>
      </c>
      <c r="AO109" s="18">
        <v>3</v>
      </c>
      <c r="AP109" s="18">
        <f>ROUNDDOWN(AN109,-3)</f>
        <v>750000</v>
      </c>
      <c r="AQ109" s="18">
        <f ca="1">DATEDIF(M109,AS$1, "m")+1</f>
        <v>3</v>
      </c>
      <c r="AR109" s="18">
        <f ca="1">+H109*AQ109</f>
        <v>750000</v>
      </c>
      <c r="AS109" s="19">
        <f ca="1">IF(H109=0,0,IF(AP109=(H109*6),"Smt-1 Lunas",IF(AP109=(H109*12),"SY2627 Lunas",AP109/AR109)))</f>
        <v>1</v>
      </c>
    </row>
    <row r="110" spans="1:45" ht="15" customHeight="1" x14ac:dyDescent="0.2">
      <c r="B110" s="13">
        <v>123</v>
      </c>
      <c r="C110" s="13" t="s">
        <v>116</v>
      </c>
      <c r="D110" s="13" t="s">
        <v>284</v>
      </c>
      <c r="E110" s="14">
        <v>34140395</v>
      </c>
      <c r="F110" s="15">
        <v>68605737930</v>
      </c>
      <c r="G110" s="15">
        <v>817737930</v>
      </c>
      <c r="H110" s="16">
        <v>250000</v>
      </c>
      <c r="I110" s="16" t="s">
        <v>223</v>
      </c>
      <c r="J110" s="16">
        <v>0</v>
      </c>
      <c r="K110" s="16">
        <v>1</v>
      </c>
      <c r="L110" s="13" t="s">
        <v>237</v>
      </c>
      <c r="M110" s="17">
        <v>46204</v>
      </c>
      <c r="N110" s="16"/>
      <c r="O110" s="16"/>
      <c r="P110" s="16">
        <v>250395</v>
      </c>
      <c r="Q110" s="16">
        <v>1</v>
      </c>
      <c r="R110" s="16">
        <v>250395</v>
      </c>
      <c r="S110" s="16">
        <v>1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8">
        <v>500790</v>
      </c>
      <c r="AO110" s="18">
        <v>2</v>
      </c>
      <c r="AP110" s="18">
        <f>ROUNDDOWN(AN110,-3)</f>
        <v>500000</v>
      </c>
      <c r="AQ110" s="18">
        <f ca="1">DATEDIF(M110,AS$1, "m")+1</f>
        <v>3</v>
      </c>
      <c r="AR110" s="18">
        <f ca="1">+H110*AQ110</f>
        <v>750000</v>
      </c>
      <c r="AS110" s="19">
        <f ca="1">IF(H110=0,0,IF(AP110=(H110*6),"Smt-1 Lunas",IF(AP110=(H110*12),"SY2627 Lunas",AP110/AR110)))</f>
        <v>0.66666666666666663</v>
      </c>
    </row>
    <row r="111" spans="1:45" ht="15" customHeight="1" x14ac:dyDescent="0.2">
      <c r="A111" s="8"/>
      <c r="B111" s="13">
        <v>21</v>
      </c>
      <c r="C111" s="13" t="s">
        <v>193</v>
      </c>
      <c r="D111" s="13" t="s">
        <v>320</v>
      </c>
      <c r="E111" s="14">
        <v>34140072</v>
      </c>
      <c r="F111" s="15">
        <v>68605153384</v>
      </c>
      <c r="G111" s="15">
        <v>818153384</v>
      </c>
      <c r="H111" s="16">
        <v>0</v>
      </c>
      <c r="I111" s="16">
        <v>0</v>
      </c>
      <c r="J111" s="16">
        <v>0</v>
      </c>
      <c r="K111" s="16">
        <v>0</v>
      </c>
      <c r="L111" s="13" t="s">
        <v>237</v>
      </c>
      <c r="M111" s="17">
        <v>0</v>
      </c>
      <c r="N111" s="16"/>
      <c r="O111" s="16"/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8">
        <v>0</v>
      </c>
      <c r="AO111" s="18">
        <v>0</v>
      </c>
      <c r="AP111" s="18">
        <f>ROUNDDOWN(AN111,-3)</f>
        <v>0</v>
      </c>
      <c r="AQ111" s="18"/>
      <c r="AR111" s="18">
        <f>+H111*AQ111</f>
        <v>0</v>
      </c>
      <c r="AS111" s="19">
        <f>IF(H111=0,0,IF(AP111=(H111*6),"Smt-1 Lunas",IF(AP111=(H111*12),"SY2627 Lunas",AP111/AR111)))</f>
        <v>0</v>
      </c>
    </row>
    <row r="112" spans="1:45" ht="15" customHeight="1" x14ac:dyDescent="0.2">
      <c r="A112" s="8"/>
      <c r="B112" s="13">
        <v>99</v>
      </c>
      <c r="C112" s="13" t="s">
        <v>194</v>
      </c>
      <c r="D112" s="13" t="s">
        <v>321</v>
      </c>
      <c r="E112" s="14">
        <v>34140283</v>
      </c>
      <c r="F112" s="15">
        <v>68605147820</v>
      </c>
      <c r="G112" s="15">
        <v>8129147820</v>
      </c>
      <c r="H112" s="16">
        <v>0</v>
      </c>
      <c r="I112" s="16">
        <v>0</v>
      </c>
      <c r="J112" s="16">
        <v>0</v>
      </c>
      <c r="K112" s="16">
        <v>0</v>
      </c>
      <c r="L112" s="13" t="s">
        <v>237</v>
      </c>
      <c r="M112" s="17">
        <v>0</v>
      </c>
      <c r="N112" s="16"/>
      <c r="O112" s="16"/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8">
        <v>0</v>
      </c>
      <c r="AO112" s="18">
        <v>0</v>
      </c>
      <c r="AP112" s="18">
        <f>ROUNDDOWN(AN112,-3)</f>
        <v>0</v>
      </c>
      <c r="AQ112" s="18"/>
      <c r="AR112" s="18">
        <f>+H112*AQ112</f>
        <v>0</v>
      </c>
      <c r="AS112" s="19">
        <f>IF(H112=0,0,IF(AP112=(H112*6),"Smt-1 Lunas",IF(AP112=(H112*12),"SY2627 Lunas",AP112/AR112)))</f>
        <v>0</v>
      </c>
    </row>
    <row r="113" spans="1:45" ht="15" customHeight="1" x14ac:dyDescent="0.2">
      <c r="A113" s="8"/>
      <c r="B113" s="13">
        <v>103</v>
      </c>
      <c r="C113" s="13" t="s">
        <v>195</v>
      </c>
      <c r="D113" s="13" t="s">
        <v>322</v>
      </c>
      <c r="E113" s="14">
        <v>34140308</v>
      </c>
      <c r="F113" s="15">
        <v>68605825268</v>
      </c>
      <c r="G113" s="15">
        <v>82226825268</v>
      </c>
      <c r="H113" s="16">
        <v>0</v>
      </c>
      <c r="I113" s="16">
        <v>0</v>
      </c>
      <c r="J113" s="16">
        <v>0</v>
      </c>
      <c r="K113" s="16">
        <v>0</v>
      </c>
      <c r="L113" s="13" t="s">
        <v>237</v>
      </c>
      <c r="M113" s="17">
        <v>0</v>
      </c>
      <c r="N113" s="16"/>
      <c r="O113" s="16"/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8">
        <v>0</v>
      </c>
      <c r="AO113" s="18">
        <v>0</v>
      </c>
      <c r="AP113" s="18">
        <f>ROUNDDOWN(AN113,-3)</f>
        <v>0</v>
      </c>
      <c r="AQ113" s="18"/>
      <c r="AR113" s="18">
        <f>+H113*AQ113</f>
        <v>0</v>
      </c>
      <c r="AS113" s="19">
        <f>IF(H113=0,0,IF(AP113=(H113*6),"Smt-1 Lunas",IF(AP113=(H113*12),"SY2627 Lunas",AP113/AR113)))</f>
        <v>0</v>
      </c>
    </row>
    <row r="114" spans="1:45" ht="15" customHeight="1" x14ac:dyDescent="0.2">
      <c r="A114" s="8"/>
      <c r="B114" s="13">
        <v>104</v>
      </c>
      <c r="C114" s="13" t="s">
        <v>196</v>
      </c>
      <c r="D114" s="13" t="s">
        <v>196</v>
      </c>
      <c r="E114" s="14">
        <v>34140309</v>
      </c>
      <c r="F114" s="15">
        <v>68605881968</v>
      </c>
      <c r="G114" s="15">
        <v>8111881968</v>
      </c>
      <c r="H114" s="16">
        <v>0</v>
      </c>
      <c r="I114" s="16">
        <v>0</v>
      </c>
      <c r="J114" s="16">
        <v>0</v>
      </c>
      <c r="K114" s="16">
        <v>0</v>
      </c>
      <c r="L114" s="13" t="s">
        <v>237</v>
      </c>
      <c r="M114" s="17">
        <v>0</v>
      </c>
      <c r="N114" s="16"/>
      <c r="O114" s="16"/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8">
        <v>0</v>
      </c>
      <c r="AO114" s="18">
        <v>0</v>
      </c>
      <c r="AP114" s="18">
        <f>ROUNDDOWN(AN114,-3)</f>
        <v>0</v>
      </c>
      <c r="AQ114" s="18"/>
      <c r="AR114" s="18">
        <f>+H114*AQ114</f>
        <v>0</v>
      </c>
      <c r="AS114" s="19">
        <f>IF(H114=0,0,IF(AP114=(H114*6),"Smt-1 Lunas",IF(AP114=(H114*12),"SY2627 Lunas",AP114/AR114)))</f>
        <v>0</v>
      </c>
    </row>
    <row r="115" spans="1:45" ht="15" customHeight="1" x14ac:dyDescent="0.2">
      <c r="A115" s="8"/>
      <c r="B115" s="13">
        <v>106</v>
      </c>
      <c r="C115" s="13" t="s">
        <v>197</v>
      </c>
      <c r="D115" s="13" t="s">
        <v>323</v>
      </c>
      <c r="E115" s="14">
        <v>34140343</v>
      </c>
      <c r="F115" s="15">
        <v>68605732499</v>
      </c>
      <c r="G115" s="15">
        <v>81317732499</v>
      </c>
      <c r="H115" s="16">
        <v>0</v>
      </c>
      <c r="I115" s="16">
        <v>0</v>
      </c>
      <c r="J115" s="16">
        <v>0</v>
      </c>
      <c r="K115" s="16">
        <v>0</v>
      </c>
      <c r="L115" s="13" t="s">
        <v>237</v>
      </c>
      <c r="M115" s="17">
        <v>0</v>
      </c>
      <c r="N115" s="16"/>
      <c r="O115" s="16"/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8">
        <v>0</v>
      </c>
      <c r="AO115" s="18">
        <v>0</v>
      </c>
      <c r="AP115" s="18">
        <f>ROUNDDOWN(AN115,-3)</f>
        <v>0</v>
      </c>
      <c r="AQ115" s="18"/>
      <c r="AR115" s="18">
        <f>+H115*AQ115</f>
        <v>0</v>
      </c>
      <c r="AS115" s="19">
        <f>IF(H115=0,0,IF(AP115=(H115*6),"Smt-1 Lunas",IF(AP115=(H115*12),"SY2627 Lunas",AP115/AR115)))</f>
        <v>0</v>
      </c>
    </row>
    <row r="116" spans="1:45" ht="15" customHeight="1" x14ac:dyDescent="0.2">
      <c r="A116" s="8"/>
      <c r="B116" s="13">
        <v>112</v>
      </c>
      <c r="C116" s="13" t="s">
        <v>198</v>
      </c>
      <c r="D116" s="13" t="s">
        <v>198</v>
      </c>
      <c r="E116" s="14">
        <v>34140380</v>
      </c>
      <c r="F116" s="15">
        <v>68605099666</v>
      </c>
      <c r="G116" s="15">
        <v>8111099666</v>
      </c>
      <c r="H116" s="16">
        <v>0</v>
      </c>
      <c r="I116" s="16">
        <v>0</v>
      </c>
      <c r="J116" s="16">
        <v>0</v>
      </c>
      <c r="K116" s="16">
        <v>0</v>
      </c>
      <c r="L116" s="13" t="s">
        <v>237</v>
      </c>
      <c r="M116" s="17">
        <v>0</v>
      </c>
      <c r="N116" s="16"/>
      <c r="O116" s="16"/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8">
        <v>0</v>
      </c>
      <c r="AO116" s="18">
        <v>0</v>
      </c>
      <c r="AP116" s="18">
        <f>ROUNDDOWN(AN116,-3)</f>
        <v>0</v>
      </c>
      <c r="AQ116" s="18"/>
      <c r="AR116" s="18">
        <f>+H116*AQ116</f>
        <v>0</v>
      </c>
      <c r="AS116" s="19">
        <f>IF(H116=0,0,IF(AP116=(H116*6),"Smt-1 Lunas",IF(AP116=(H116*12),"SY2627 Lunas",AP116/AR116)))</f>
        <v>0</v>
      </c>
    </row>
    <row r="117" spans="1:45" ht="15" customHeight="1" x14ac:dyDescent="0.2">
      <c r="A117" s="8"/>
      <c r="B117" s="13">
        <v>125</v>
      </c>
      <c r="C117" s="13" t="s">
        <v>200</v>
      </c>
      <c r="D117" s="13" t="s">
        <v>325</v>
      </c>
      <c r="E117" s="14">
        <v>34140398</v>
      </c>
      <c r="F117" s="15">
        <v>68605969676</v>
      </c>
      <c r="G117" s="15">
        <v>81319969676</v>
      </c>
      <c r="H117" s="16">
        <v>0</v>
      </c>
      <c r="I117" s="16">
        <v>0</v>
      </c>
      <c r="J117" s="16">
        <v>0</v>
      </c>
      <c r="K117" s="16">
        <v>0</v>
      </c>
      <c r="L117" s="13" t="s">
        <v>237</v>
      </c>
      <c r="M117" s="17">
        <v>0</v>
      </c>
      <c r="N117" s="16"/>
      <c r="O117" s="16"/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8">
        <v>0</v>
      </c>
      <c r="AO117" s="18">
        <v>0</v>
      </c>
      <c r="AP117" s="18">
        <f>ROUNDDOWN(AN117,-3)</f>
        <v>0</v>
      </c>
      <c r="AQ117" s="18"/>
      <c r="AR117" s="18">
        <f>+H117*AQ117</f>
        <v>0</v>
      </c>
      <c r="AS117" s="19">
        <f>IF(H117=0,0,IF(AP117=(H117*6),"Smt-1 Lunas",IF(AP117=(H117*12),"SY2627 Lunas",AP117/AR117)))</f>
        <v>0</v>
      </c>
    </row>
    <row r="118" spans="1:45" ht="15" customHeight="1" x14ac:dyDescent="0.2">
      <c r="A118" s="8"/>
      <c r="B118" s="13">
        <v>129</v>
      </c>
      <c r="C118" s="13" t="s">
        <v>202</v>
      </c>
      <c r="D118" s="13" t="s">
        <v>326</v>
      </c>
      <c r="E118" s="14">
        <v>34140402</v>
      </c>
      <c r="F118" s="15">
        <v>68605134803</v>
      </c>
      <c r="G118" s="15">
        <v>81539134803</v>
      </c>
      <c r="H118" s="16">
        <v>0</v>
      </c>
      <c r="I118" s="16">
        <v>0</v>
      </c>
      <c r="J118" s="16">
        <v>0</v>
      </c>
      <c r="K118" s="16">
        <v>0</v>
      </c>
      <c r="L118" s="13" t="s">
        <v>237</v>
      </c>
      <c r="M118" s="17">
        <v>0</v>
      </c>
      <c r="N118" s="16"/>
      <c r="O118" s="16"/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8">
        <v>0</v>
      </c>
      <c r="AO118" s="18">
        <v>0</v>
      </c>
      <c r="AP118" s="18">
        <f>ROUNDDOWN(AN118,-3)</f>
        <v>0</v>
      </c>
      <c r="AQ118" s="18"/>
      <c r="AR118" s="18">
        <f>+H118*AQ118</f>
        <v>0</v>
      </c>
      <c r="AS118" s="19">
        <f>IF(H118=0,0,IF(AP118=(H118*6),"Smt-1 Lunas",IF(AP118=(H118*12),"SY2627 Lunas",AP118/AR118)))</f>
        <v>0</v>
      </c>
    </row>
    <row r="119" spans="1:45" ht="15" customHeight="1" x14ac:dyDescent="0.2">
      <c r="A119" s="8"/>
      <c r="B119" s="13">
        <v>132</v>
      </c>
      <c r="C119" s="13" t="s">
        <v>203</v>
      </c>
      <c r="D119" s="13" t="s">
        <v>327</v>
      </c>
      <c r="E119" s="14">
        <v>34140405</v>
      </c>
      <c r="F119" s="15">
        <v>68605689948</v>
      </c>
      <c r="G119" s="15">
        <v>81285689948</v>
      </c>
      <c r="H119" s="16">
        <v>0</v>
      </c>
      <c r="I119" s="16">
        <v>0</v>
      </c>
      <c r="J119" s="16">
        <v>0</v>
      </c>
      <c r="K119" s="16">
        <v>0</v>
      </c>
      <c r="L119" s="13" t="s">
        <v>237</v>
      </c>
      <c r="M119" s="17">
        <v>0</v>
      </c>
      <c r="N119" s="16"/>
      <c r="O119" s="16"/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8">
        <v>0</v>
      </c>
      <c r="AO119" s="18">
        <v>0</v>
      </c>
      <c r="AP119" s="18">
        <f>ROUNDDOWN(AN119,-3)</f>
        <v>0</v>
      </c>
      <c r="AQ119" s="18"/>
      <c r="AR119" s="18">
        <f>+H119*AQ119</f>
        <v>0</v>
      </c>
      <c r="AS119" s="19">
        <f>IF(H119=0,0,IF(AP119=(H119*6),"Smt-1 Lunas",IF(AP119=(H119*12),"SY2627 Lunas",AP119/AR119)))</f>
        <v>0</v>
      </c>
    </row>
    <row r="120" spans="1:45" ht="15" customHeight="1" x14ac:dyDescent="0.2">
      <c r="A120" s="8"/>
      <c r="B120" s="13">
        <v>141</v>
      </c>
      <c r="C120" s="13" t="s">
        <v>204</v>
      </c>
      <c r="D120" s="13" t="s">
        <v>204</v>
      </c>
      <c r="E120" s="14">
        <v>34140414</v>
      </c>
      <c r="F120" s="15">
        <v>68605032056</v>
      </c>
      <c r="G120" s="15">
        <v>8121032056</v>
      </c>
      <c r="H120" s="16">
        <v>0</v>
      </c>
      <c r="I120" s="16">
        <v>0</v>
      </c>
      <c r="J120" s="16">
        <v>0</v>
      </c>
      <c r="K120" s="16">
        <v>0</v>
      </c>
      <c r="L120" s="13" t="s">
        <v>237</v>
      </c>
      <c r="M120" s="17">
        <v>0</v>
      </c>
      <c r="N120" s="16"/>
      <c r="O120" s="16"/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8">
        <v>0</v>
      </c>
      <c r="AO120" s="18">
        <v>0</v>
      </c>
      <c r="AP120" s="18">
        <f>ROUNDDOWN(AN120,-3)</f>
        <v>0</v>
      </c>
      <c r="AQ120" s="18"/>
      <c r="AR120" s="18">
        <f>+H120*AQ120</f>
        <v>0</v>
      </c>
      <c r="AS120" s="19">
        <f>IF(H120=0,0,IF(AP120=(H120*6),"Smt-1 Lunas",IF(AP120=(H120*12),"SY2627 Lunas",AP120/AR120)))</f>
        <v>0</v>
      </c>
    </row>
    <row r="121" spans="1:45" ht="15" customHeight="1" x14ac:dyDescent="0.2">
      <c r="A121" s="8"/>
      <c r="B121" s="13">
        <v>145</v>
      </c>
      <c r="C121" s="13" t="s">
        <v>205</v>
      </c>
      <c r="D121" s="13" t="s">
        <v>328</v>
      </c>
      <c r="E121" s="14">
        <v>34140418</v>
      </c>
      <c r="F121" s="15">
        <v>68605776774</v>
      </c>
      <c r="G121" s="15">
        <v>8111776774</v>
      </c>
      <c r="H121" s="16">
        <v>0</v>
      </c>
      <c r="I121" s="16">
        <v>0</v>
      </c>
      <c r="J121" s="16">
        <v>0</v>
      </c>
      <c r="K121" s="16">
        <v>0</v>
      </c>
      <c r="L121" s="13" t="s">
        <v>237</v>
      </c>
      <c r="M121" s="17">
        <v>0</v>
      </c>
      <c r="N121" s="16"/>
      <c r="O121" s="16"/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8">
        <v>0</v>
      </c>
      <c r="AO121" s="18">
        <v>0</v>
      </c>
      <c r="AP121" s="18">
        <f>ROUNDDOWN(AN121,-3)</f>
        <v>0</v>
      </c>
      <c r="AQ121" s="18"/>
      <c r="AR121" s="18">
        <f>+H121*AQ121</f>
        <v>0</v>
      </c>
      <c r="AS121" s="19">
        <f>IF(H121=0,0,IF(AP121=(H121*6),"Smt-1 Lunas",IF(AP121=(H121*12),"SY2627 Lunas",AP121/AR121)))</f>
        <v>0</v>
      </c>
    </row>
    <row r="122" spans="1:45" ht="15" customHeight="1" x14ac:dyDescent="0.2">
      <c r="A122" s="8"/>
      <c r="B122" s="13">
        <v>147</v>
      </c>
      <c r="C122" s="13" t="s">
        <v>206</v>
      </c>
      <c r="D122" s="13" t="s">
        <v>329</v>
      </c>
      <c r="E122" s="14">
        <v>34140420</v>
      </c>
      <c r="F122" s="15">
        <v>68605076807</v>
      </c>
      <c r="G122" s="15">
        <v>8118076807</v>
      </c>
      <c r="H122" s="16">
        <v>0</v>
      </c>
      <c r="I122" s="16">
        <v>0</v>
      </c>
      <c r="J122" s="16">
        <v>0</v>
      </c>
      <c r="K122" s="16">
        <v>0</v>
      </c>
      <c r="L122" s="13" t="s">
        <v>237</v>
      </c>
      <c r="M122" s="17">
        <v>0</v>
      </c>
      <c r="N122" s="16"/>
      <c r="O122" s="16"/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8">
        <v>0</v>
      </c>
      <c r="AO122" s="18">
        <v>0</v>
      </c>
      <c r="AP122" s="18">
        <f>ROUNDDOWN(AN122,-3)</f>
        <v>0</v>
      </c>
      <c r="AQ122" s="18"/>
      <c r="AR122" s="18">
        <f>+H122*AQ122</f>
        <v>0</v>
      </c>
      <c r="AS122" s="19">
        <f>IF(H122=0,0,IF(AP122=(H122*6),"Smt-1 Lunas",IF(AP122=(H122*12),"SY2627 Lunas",AP122/AR122)))</f>
        <v>0</v>
      </c>
    </row>
    <row r="123" spans="1:45" ht="15" customHeight="1" x14ac:dyDescent="0.2">
      <c r="A123" s="8"/>
      <c r="B123" s="13">
        <v>149</v>
      </c>
      <c r="C123" s="13" t="s">
        <v>207</v>
      </c>
      <c r="D123" s="13" t="s">
        <v>330</v>
      </c>
      <c r="E123" s="14">
        <v>34140422</v>
      </c>
      <c r="F123" s="15">
        <v>68605898005</v>
      </c>
      <c r="G123" s="15">
        <v>816898005</v>
      </c>
      <c r="H123" s="16">
        <v>0</v>
      </c>
      <c r="I123" s="16">
        <v>0</v>
      </c>
      <c r="J123" s="16">
        <v>0</v>
      </c>
      <c r="K123" s="16">
        <v>0</v>
      </c>
      <c r="L123" s="13" t="s">
        <v>237</v>
      </c>
      <c r="M123" s="17">
        <v>0</v>
      </c>
      <c r="N123" s="16"/>
      <c r="O123" s="16"/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8">
        <v>0</v>
      </c>
      <c r="AO123" s="18">
        <v>0</v>
      </c>
      <c r="AP123" s="18">
        <f>ROUNDDOWN(AN123,-3)</f>
        <v>0</v>
      </c>
      <c r="AQ123" s="18"/>
      <c r="AR123" s="18">
        <f>+H123*AQ123</f>
        <v>0</v>
      </c>
      <c r="AS123" s="19">
        <f>IF(H123=0,0,IF(AP123=(H123*6),"Smt-1 Lunas",IF(AP123=(H123*12),"SY2627 Lunas",AP123/AR123)))</f>
        <v>0</v>
      </c>
    </row>
    <row r="124" spans="1:45" ht="15" customHeight="1" x14ac:dyDescent="0.2">
      <c r="A124" s="8"/>
      <c r="B124" s="13">
        <v>150</v>
      </c>
      <c r="C124" s="13" t="s">
        <v>208</v>
      </c>
      <c r="D124" s="13" t="s">
        <v>331</v>
      </c>
      <c r="E124" s="14">
        <v>34140424</v>
      </c>
      <c r="F124" s="15">
        <v>68605660888</v>
      </c>
      <c r="G124" s="15">
        <v>81119660888</v>
      </c>
      <c r="H124" s="16">
        <v>0</v>
      </c>
      <c r="I124" s="16">
        <v>0</v>
      </c>
      <c r="J124" s="16">
        <v>0</v>
      </c>
      <c r="K124" s="16">
        <v>0</v>
      </c>
      <c r="L124" s="13" t="s">
        <v>237</v>
      </c>
      <c r="M124" s="17">
        <v>0</v>
      </c>
      <c r="N124" s="16"/>
      <c r="O124" s="16"/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8">
        <v>0</v>
      </c>
      <c r="AO124" s="18">
        <v>0</v>
      </c>
      <c r="AP124" s="18">
        <f>ROUNDDOWN(AN124,-3)</f>
        <v>0</v>
      </c>
      <c r="AQ124" s="18"/>
      <c r="AR124" s="18">
        <f>+H124*AQ124</f>
        <v>0</v>
      </c>
      <c r="AS124" s="19">
        <f>IF(H124=0,0,IF(AP124=(H124*6),"Smt-1 Lunas",IF(AP124=(H124*12),"SY2627 Lunas",AP124/AR124)))</f>
        <v>0</v>
      </c>
    </row>
    <row r="125" spans="1:45" ht="15" customHeight="1" x14ac:dyDescent="0.2">
      <c r="B125" s="13">
        <v>14</v>
      </c>
      <c r="C125" s="13" t="s">
        <v>41</v>
      </c>
      <c r="D125" s="13" t="s">
        <v>229</v>
      </c>
      <c r="E125" s="14">
        <v>34140050</v>
      </c>
      <c r="F125" s="15">
        <v>68605925148</v>
      </c>
      <c r="G125" s="15">
        <v>8161925148</v>
      </c>
      <c r="H125" s="16">
        <v>250000</v>
      </c>
      <c r="I125" s="16" t="s">
        <v>230</v>
      </c>
      <c r="J125" s="16">
        <v>0</v>
      </c>
      <c r="K125" s="16">
        <v>1</v>
      </c>
      <c r="L125" s="13" t="s">
        <v>231</v>
      </c>
      <c r="M125" s="17">
        <v>46204</v>
      </c>
      <c r="N125" s="16"/>
      <c r="O125" s="16"/>
      <c r="P125" s="16">
        <v>0</v>
      </c>
      <c r="Q125" s="16">
        <v>0</v>
      </c>
      <c r="R125" s="16">
        <v>1500000</v>
      </c>
      <c r="S125" s="16">
        <v>1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8">
        <v>1500000</v>
      </c>
      <c r="AO125" s="18">
        <v>1</v>
      </c>
      <c r="AP125" s="18">
        <f>ROUNDDOWN(AN125,-3)</f>
        <v>1500000</v>
      </c>
      <c r="AQ125" s="18">
        <f ca="1">DATEDIF(M125,AS$1, "m")+1</f>
        <v>3</v>
      </c>
      <c r="AR125" s="18">
        <f ca="1">+H125*AQ125</f>
        <v>750000</v>
      </c>
      <c r="AS125" s="19" t="str">
        <f>IF(H125=0,0,IF(AP125=(H125*6),"Smt-1 Lunas",IF(AP125=(H125*12),"SY2627 Lunas",AP125/AR125)))</f>
        <v>Smt-1 Lunas</v>
      </c>
    </row>
    <row r="126" spans="1:45" ht="15" customHeight="1" x14ac:dyDescent="0.2">
      <c r="A126" s="9"/>
      <c r="B126" s="13">
        <v>180</v>
      </c>
      <c r="C126" s="13" t="s">
        <v>160</v>
      </c>
      <c r="D126" s="13" t="s">
        <v>302</v>
      </c>
      <c r="E126" s="14">
        <v>34140454</v>
      </c>
      <c r="F126" s="15">
        <v>68605234504</v>
      </c>
      <c r="G126" s="15">
        <v>8119234504</v>
      </c>
      <c r="H126" s="16">
        <v>250000</v>
      </c>
      <c r="I126" s="16" t="s">
        <v>223</v>
      </c>
      <c r="J126" s="16">
        <v>0</v>
      </c>
      <c r="K126" s="16">
        <v>1</v>
      </c>
      <c r="L126" s="13" t="s">
        <v>231</v>
      </c>
      <c r="M126" s="17">
        <v>46235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8">
        <v>0</v>
      </c>
      <c r="AO126" s="18">
        <v>0</v>
      </c>
      <c r="AP126" s="18">
        <f>ROUNDDOWN(AN126,-3)</f>
        <v>0</v>
      </c>
      <c r="AQ126" s="18">
        <f ca="1">DATEDIF(M126,AS$1, "m")+1</f>
        <v>2</v>
      </c>
      <c r="AR126" s="18">
        <f ca="1">+H126*AQ126</f>
        <v>500000</v>
      </c>
      <c r="AS126" s="19">
        <f ca="1">IF(H126=0,0,IF(AP126=(H126*6),"Smt-1 Lunas",IF(AP126=(H126*12),"SY2627 Lunas",AP126/AR126)))</f>
        <v>0</v>
      </c>
    </row>
    <row r="127" spans="1:45" ht="15" customHeight="1" x14ac:dyDescent="0.2">
      <c r="B127" s="13">
        <v>59</v>
      </c>
      <c r="C127" s="13" t="s">
        <v>71</v>
      </c>
      <c r="D127" s="13" t="s">
        <v>254</v>
      </c>
      <c r="E127" s="14">
        <v>34140162</v>
      </c>
      <c r="F127" s="15">
        <v>68605012134</v>
      </c>
      <c r="G127" s="15">
        <v>8118012134</v>
      </c>
      <c r="H127" s="16">
        <v>1500000</v>
      </c>
      <c r="I127" s="16" t="s">
        <v>225</v>
      </c>
      <c r="J127" s="16">
        <v>3</v>
      </c>
      <c r="K127" s="16">
        <v>0</v>
      </c>
      <c r="L127" s="13" t="s">
        <v>224</v>
      </c>
      <c r="M127" s="17">
        <v>46204</v>
      </c>
      <c r="N127" s="16">
        <v>18000000</v>
      </c>
      <c r="O127" s="16">
        <v>1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8">
        <v>18000000</v>
      </c>
      <c r="AO127" s="18">
        <v>1</v>
      </c>
      <c r="AP127" s="18">
        <f>ROUNDDOWN(AN127,-3)</f>
        <v>18000000</v>
      </c>
      <c r="AQ127" s="18">
        <f ca="1">DATEDIF(M127,AS$1, "m")+1</f>
        <v>3</v>
      </c>
      <c r="AR127" s="18">
        <f ca="1">+H127*AQ127</f>
        <v>4500000</v>
      </c>
      <c r="AS127" s="19" t="str">
        <f>IF(H127=0,0,IF(AP127=(H127*6),"Smt-1 Lunas",IF(AP127=(H127*12),"SY2627 Lunas",AP127/AR127)))</f>
        <v>SY2627 Lunas</v>
      </c>
    </row>
    <row r="128" spans="1:45" ht="15" customHeight="1" x14ac:dyDescent="0.2">
      <c r="B128" s="13">
        <v>27</v>
      </c>
      <c r="C128" s="13" t="s">
        <v>210</v>
      </c>
      <c r="D128" s="13" t="s">
        <v>210</v>
      </c>
      <c r="E128" s="14">
        <v>34140085</v>
      </c>
      <c r="F128" s="15">
        <v>68605673208</v>
      </c>
      <c r="G128" s="15">
        <v>81213673208</v>
      </c>
      <c r="H128" s="16">
        <v>1000000</v>
      </c>
      <c r="I128" s="16" t="s">
        <v>225</v>
      </c>
      <c r="J128" s="16">
        <v>1</v>
      </c>
      <c r="K128" s="16">
        <v>2</v>
      </c>
      <c r="L128" s="13" t="s">
        <v>224</v>
      </c>
      <c r="M128" s="17">
        <v>46204</v>
      </c>
      <c r="N128" s="16"/>
      <c r="O128" s="16"/>
      <c r="P128" s="16">
        <v>0</v>
      </c>
      <c r="Q128" s="16">
        <v>0</v>
      </c>
      <c r="R128" s="16">
        <v>0</v>
      </c>
      <c r="S128" s="16">
        <v>0</v>
      </c>
      <c r="T128" s="16">
        <v>12000000</v>
      </c>
      <c r="U128" s="16">
        <v>1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8">
        <v>12000000</v>
      </c>
      <c r="AO128" s="18">
        <v>1</v>
      </c>
      <c r="AP128" s="18">
        <f>ROUNDDOWN(AN128,-3)</f>
        <v>12000000</v>
      </c>
      <c r="AQ128" s="18"/>
      <c r="AR128" s="18">
        <f>+H128*AQ128</f>
        <v>0</v>
      </c>
      <c r="AS128" s="19" t="str">
        <f>IF(H128=0,0,IF(AP128=(H128*6),"Smt-1 Lunas",IF(AP128=(H128*12),"SY2627 Lunas",AP128/AR128)))</f>
        <v>SY2627 Lunas</v>
      </c>
    </row>
    <row r="129" spans="2:45" ht="15" customHeight="1" x14ac:dyDescent="0.2">
      <c r="B129" s="13">
        <v>80</v>
      </c>
      <c r="C129" s="13" t="s">
        <v>88</v>
      </c>
      <c r="D129" s="13" t="s">
        <v>88</v>
      </c>
      <c r="E129" s="14">
        <v>34140243</v>
      </c>
      <c r="F129" s="15">
        <v>68605861974</v>
      </c>
      <c r="G129" s="15">
        <v>8126861974</v>
      </c>
      <c r="H129" s="16">
        <v>1000000</v>
      </c>
      <c r="I129" s="16" t="s">
        <v>225</v>
      </c>
      <c r="J129" s="16">
        <v>1</v>
      </c>
      <c r="K129" s="16">
        <v>2</v>
      </c>
      <c r="L129" s="13" t="s">
        <v>224</v>
      </c>
      <c r="M129" s="17">
        <v>46204</v>
      </c>
      <c r="N129" s="16"/>
      <c r="O129" s="16"/>
      <c r="P129" s="16">
        <v>12000000</v>
      </c>
      <c r="Q129" s="16">
        <v>1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8">
        <v>12000000</v>
      </c>
      <c r="AO129" s="18">
        <v>1</v>
      </c>
      <c r="AP129" s="18">
        <f>ROUNDDOWN(AN129,-3)</f>
        <v>12000000</v>
      </c>
      <c r="AQ129" s="18">
        <f ca="1">DATEDIF(M129,AS$1, "m")+1</f>
        <v>3</v>
      </c>
      <c r="AR129" s="18">
        <f ca="1">+H129*AQ129</f>
        <v>3000000</v>
      </c>
      <c r="AS129" s="19" t="str">
        <f>IF(H129=0,0,IF(AP129=(H129*6),"Smt-1 Lunas",IF(AP129=(H129*12),"SY2627 Lunas",AP129/AR129)))</f>
        <v>SY2627 Lunas</v>
      </c>
    </row>
    <row r="130" spans="2:45" ht="15" customHeight="1" x14ac:dyDescent="0.2">
      <c r="B130" s="13">
        <v>2</v>
      </c>
      <c r="C130" s="13" t="s">
        <v>34</v>
      </c>
      <c r="D130" s="13" t="s">
        <v>34</v>
      </c>
      <c r="E130" s="14">
        <v>34140008</v>
      </c>
      <c r="F130" s="15">
        <v>68605644230</v>
      </c>
      <c r="G130" s="15">
        <v>81808644230</v>
      </c>
      <c r="H130" s="16">
        <v>750000</v>
      </c>
      <c r="I130" s="16" t="s">
        <v>225</v>
      </c>
      <c r="J130" s="16">
        <v>1</v>
      </c>
      <c r="K130" s="16">
        <v>1</v>
      </c>
      <c r="L130" s="13" t="s">
        <v>224</v>
      </c>
      <c r="M130" s="17">
        <v>46204</v>
      </c>
      <c r="N130" s="16"/>
      <c r="O130" s="16"/>
      <c r="P130" s="16">
        <v>9000000</v>
      </c>
      <c r="Q130" s="16">
        <v>1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8">
        <v>9000000</v>
      </c>
      <c r="AO130" s="18">
        <v>1</v>
      </c>
      <c r="AP130" s="18">
        <f>ROUNDDOWN(AN130,-3)</f>
        <v>9000000</v>
      </c>
      <c r="AQ130" s="18">
        <f ca="1">DATEDIF(M130,AS$1, "m")+1</f>
        <v>3</v>
      </c>
      <c r="AR130" s="18">
        <f ca="1">+H130*AQ130</f>
        <v>2250000</v>
      </c>
      <c r="AS130" s="19" t="str">
        <f>IF(H130=0,0,IF(AP130=(H130*6),"Smt-1 Lunas",IF(AP130=(H130*12),"SY2627 Lunas",AP130/AR130)))</f>
        <v>SY2627 Lunas</v>
      </c>
    </row>
    <row r="131" spans="2:45" ht="15" customHeight="1" x14ac:dyDescent="0.2">
      <c r="B131" s="13">
        <v>20</v>
      </c>
      <c r="C131" s="13" t="s">
        <v>44</v>
      </c>
      <c r="D131" s="13" t="s">
        <v>44</v>
      </c>
      <c r="E131" s="14">
        <v>34140070</v>
      </c>
      <c r="F131" s="15">
        <v>68605887801</v>
      </c>
      <c r="G131" s="15">
        <v>8161887801</v>
      </c>
      <c r="H131" s="16">
        <v>1000000</v>
      </c>
      <c r="I131" s="16" t="s">
        <v>230</v>
      </c>
      <c r="J131" s="16">
        <v>1</v>
      </c>
      <c r="K131" s="16">
        <v>2</v>
      </c>
      <c r="L131" s="13" t="s">
        <v>224</v>
      </c>
      <c r="M131" s="17">
        <v>46204</v>
      </c>
      <c r="N131" s="16"/>
      <c r="O131" s="16"/>
      <c r="P131" s="16">
        <v>6000000</v>
      </c>
      <c r="Q131" s="16">
        <v>1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8">
        <v>6000000</v>
      </c>
      <c r="AO131" s="18">
        <v>1</v>
      </c>
      <c r="AP131" s="18">
        <f>ROUNDDOWN(AN131,-3)</f>
        <v>6000000</v>
      </c>
      <c r="AQ131" s="18">
        <f ca="1">DATEDIF(M131,AS$1, "m")+1</f>
        <v>3</v>
      </c>
      <c r="AR131" s="18">
        <f ca="1">+H131*AQ131</f>
        <v>3000000</v>
      </c>
      <c r="AS131" s="19" t="str">
        <f>IF(H131=0,0,IF(AP131=(H131*6),"Smt-1 Lunas",IF(AP131=(H131*12),"SY2627 Lunas",AP131/AR131)))</f>
        <v>Smt-1 Lunas</v>
      </c>
    </row>
    <row r="132" spans="2:45" ht="15" customHeight="1" x14ac:dyDescent="0.2">
      <c r="B132" s="13">
        <v>76</v>
      </c>
      <c r="C132" s="13" t="s">
        <v>85</v>
      </c>
      <c r="D132" s="13" t="s">
        <v>266</v>
      </c>
      <c r="E132" s="14">
        <v>34140206</v>
      </c>
      <c r="F132" s="15">
        <v>68605288868</v>
      </c>
      <c r="G132" s="15">
        <v>87877288868</v>
      </c>
      <c r="H132" s="16">
        <v>500000</v>
      </c>
      <c r="I132" s="16" t="s">
        <v>225</v>
      </c>
      <c r="J132" s="16">
        <v>0</v>
      </c>
      <c r="K132" s="16">
        <v>2</v>
      </c>
      <c r="L132" s="13" t="s">
        <v>224</v>
      </c>
      <c r="M132" s="17">
        <v>46204</v>
      </c>
      <c r="N132" s="16"/>
      <c r="O132" s="16"/>
      <c r="P132" s="16">
        <v>6000000</v>
      </c>
      <c r="Q132" s="16">
        <v>1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8">
        <v>6000000</v>
      </c>
      <c r="AO132" s="18">
        <v>1</v>
      </c>
      <c r="AP132" s="18">
        <f>ROUNDDOWN(AN132,-3)</f>
        <v>6000000</v>
      </c>
      <c r="AQ132" s="18">
        <f ca="1">DATEDIF(M132,AS$1, "m")+1</f>
        <v>3</v>
      </c>
      <c r="AR132" s="18">
        <f ca="1">+H132*AQ132</f>
        <v>1500000</v>
      </c>
      <c r="AS132" s="19" t="str">
        <f>IF(H132=0,0,IF(AP132=(H132*6),"Smt-1 Lunas",IF(AP132=(H132*12),"SY2627 Lunas",AP132/AR132)))</f>
        <v>SY2627 Lunas</v>
      </c>
    </row>
    <row r="133" spans="2:45" ht="15" customHeight="1" x14ac:dyDescent="0.2">
      <c r="B133" s="13">
        <v>165</v>
      </c>
      <c r="C133" s="13" t="s">
        <v>145</v>
      </c>
      <c r="D133" s="13" t="s">
        <v>296</v>
      </c>
      <c r="E133" s="14">
        <v>34140439</v>
      </c>
      <c r="F133" s="15">
        <v>68605049803</v>
      </c>
      <c r="G133" s="15">
        <v>87783049803</v>
      </c>
      <c r="H133" s="16">
        <v>500000</v>
      </c>
      <c r="I133" s="16" t="s">
        <v>225</v>
      </c>
      <c r="J133" s="16">
        <v>1</v>
      </c>
      <c r="K133" s="16">
        <v>0</v>
      </c>
      <c r="L133" s="13" t="s">
        <v>224</v>
      </c>
      <c r="M133" s="17">
        <v>46174</v>
      </c>
      <c r="N133" s="16">
        <v>6000000</v>
      </c>
      <c r="O133" s="16">
        <v>1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8">
        <v>6000000</v>
      </c>
      <c r="AO133" s="18">
        <v>1</v>
      </c>
      <c r="AP133" s="18">
        <f>ROUNDDOWN(AN133,-3)</f>
        <v>6000000</v>
      </c>
      <c r="AQ133" s="18">
        <f ca="1">DATEDIF(M133,AS$1, "m")+1</f>
        <v>4</v>
      </c>
      <c r="AR133" s="18">
        <f ca="1">+H133*AQ133</f>
        <v>2000000</v>
      </c>
      <c r="AS133" s="19" t="str">
        <f>IF(H133=0,0,IF(AP133=(H133*6),"Smt-1 Lunas",IF(AP133=(H133*12),"SY2627 Lunas",AP133/AR133)))</f>
        <v>SY2627 Lunas</v>
      </c>
    </row>
    <row r="134" spans="2:45" ht="15" customHeight="1" x14ac:dyDescent="0.2">
      <c r="B134" s="13">
        <v>51</v>
      </c>
      <c r="C134" s="13" t="s">
        <v>64</v>
      </c>
      <c r="D134" s="13" t="s">
        <v>64</v>
      </c>
      <c r="E134" s="14">
        <v>34140146</v>
      </c>
      <c r="F134" s="15">
        <v>68605428920</v>
      </c>
      <c r="G134" s="15">
        <v>81586428920</v>
      </c>
      <c r="H134" s="16">
        <v>1500000</v>
      </c>
      <c r="I134" s="16" t="s">
        <v>223</v>
      </c>
      <c r="J134" s="16">
        <v>3</v>
      </c>
      <c r="K134" s="16">
        <v>0</v>
      </c>
      <c r="L134" s="13" t="s">
        <v>224</v>
      </c>
      <c r="M134" s="17">
        <v>46204</v>
      </c>
      <c r="N134" s="16"/>
      <c r="O134" s="16"/>
      <c r="P134" s="16">
        <v>3000292</v>
      </c>
      <c r="Q134" s="16">
        <v>2</v>
      </c>
      <c r="R134" s="16">
        <v>1500146</v>
      </c>
      <c r="S134" s="16">
        <v>1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8">
        <v>4500438</v>
      </c>
      <c r="AO134" s="18">
        <v>3</v>
      </c>
      <c r="AP134" s="18">
        <f>ROUNDDOWN(AN134,-3)</f>
        <v>4500000</v>
      </c>
      <c r="AQ134" s="18">
        <f ca="1">DATEDIF(M134,AS$1, "m")+1</f>
        <v>3</v>
      </c>
      <c r="AR134" s="18">
        <f ca="1">+H134*AQ134</f>
        <v>4500000</v>
      </c>
      <c r="AS134" s="19">
        <f ca="1">IF(H134=0,0,IF(AP134=(H134*6),"Smt-1 Lunas",IF(AP134=(H134*12),"SY2627 Lunas",AP134/AR134)))</f>
        <v>1</v>
      </c>
    </row>
    <row r="135" spans="2:45" ht="15" customHeight="1" x14ac:dyDescent="0.2">
      <c r="B135" s="13">
        <v>25</v>
      </c>
      <c r="C135" s="13" t="s">
        <v>47</v>
      </c>
      <c r="D135" s="13" t="s">
        <v>235</v>
      </c>
      <c r="E135" s="14">
        <v>34140079</v>
      </c>
      <c r="F135" s="15">
        <v>68605288899</v>
      </c>
      <c r="G135" s="15">
        <v>817288899</v>
      </c>
      <c r="H135" s="16">
        <v>1500000</v>
      </c>
      <c r="I135" s="16" t="s">
        <v>223</v>
      </c>
      <c r="J135" s="16">
        <v>0</v>
      </c>
      <c r="K135" s="16">
        <v>6</v>
      </c>
      <c r="L135" s="13" t="s">
        <v>224</v>
      </c>
      <c r="M135" s="17">
        <v>46204</v>
      </c>
      <c r="N135" s="16"/>
      <c r="O135" s="16"/>
      <c r="P135" s="16">
        <v>0</v>
      </c>
      <c r="Q135" s="16">
        <v>0</v>
      </c>
      <c r="R135" s="16">
        <v>4500000</v>
      </c>
      <c r="S135" s="16">
        <v>2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8">
        <v>4500000</v>
      </c>
      <c r="AO135" s="18">
        <v>2</v>
      </c>
      <c r="AP135" s="18">
        <f>ROUNDDOWN(AN135,-3)</f>
        <v>4500000</v>
      </c>
      <c r="AQ135" s="18">
        <f ca="1">DATEDIF(M135,AS$1, "m")+1</f>
        <v>3</v>
      </c>
      <c r="AR135" s="18">
        <f ca="1">+H135*AQ135</f>
        <v>4500000</v>
      </c>
      <c r="AS135" s="19">
        <f ca="1">IF(H135=0,0,IF(AP135=(H135*6),"Smt-1 Lunas",IF(AP135=(H135*12),"SY2627 Lunas",AP135/AR135)))</f>
        <v>1</v>
      </c>
    </row>
    <row r="136" spans="2:45" ht="15" customHeight="1" x14ac:dyDescent="0.2">
      <c r="B136" s="13">
        <v>13</v>
      </c>
      <c r="C136" s="13" t="s">
        <v>40</v>
      </c>
      <c r="D136" s="13" t="s">
        <v>40</v>
      </c>
      <c r="E136" s="14">
        <v>34140046</v>
      </c>
      <c r="F136" s="15">
        <v>68605166738</v>
      </c>
      <c r="G136" s="15">
        <v>81315166738</v>
      </c>
      <c r="H136" s="16">
        <v>1250000</v>
      </c>
      <c r="I136" s="16" t="s">
        <v>223</v>
      </c>
      <c r="J136" s="16">
        <v>1</v>
      </c>
      <c r="K136" s="16">
        <v>3</v>
      </c>
      <c r="L136" s="13" t="s">
        <v>224</v>
      </c>
      <c r="M136" s="17">
        <v>46204</v>
      </c>
      <c r="N136" s="16"/>
      <c r="O136" s="16"/>
      <c r="P136" s="16">
        <v>1250000</v>
      </c>
      <c r="Q136" s="16">
        <v>1</v>
      </c>
      <c r="R136" s="16">
        <v>1250000</v>
      </c>
      <c r="S136" s="16">
        <v>1</v>
      </c>
      <c r="T136" s="16">
        <v>1250000</v>
      </c>
      <c r="U136" s="16">
        <v>1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8">
        <v>3750000</v>
      </c>
      <c r="AO136" s="18">
        <v>3</v>
      </c>
      <c r="AP136" s="18">
        <f>ROUNDDOWN(AN136,-3)</f>
        <v>3750000</v>
      </c>
      <c r="AQ136" s="18">
        <f ca="1">DATEDIF(M136,AS$1, "m")+1</f>
        <v>3</v>
      </c>
      <c r="AR136" s="18">
        <f ca="1">+H136*AQ136</f>
        <v>3750000</v>
      </c>
      <c r="AS136" s="19">
        <f ca="1">IF(H136=0,0,IF(AP136=(H136*6),"Smt-1 Lunas",IF(AP136=(H136*12),"SY2627 Lunas",AP136/AR136)))</f>
        <v>1</v>
      </c>
    </row>
    <row r="137" spans="2:45" ht="15" customHeight="1" x14ac:dyDescent="0.2">
      <c r="B137" s="13">
        <v>6</v>
      </c>
      <c r="C137" s="13" t="s">
        <v>35</v>
      </c>
      <c r="D137" s="13" t="s">
        <v>35</v>
      </c>
      <c r="E137" s="14">
        <v>34140020</v>
      </c>
      <c r="F137" s="15">
        <v>68605186781</v>
      </c>
      <c r="G137" s="15">
        <v>81290186781</v>
      </c>
      <c r="H137" s="16">
        <v>1000000</v>
      </c>
      <c r="I137" s="16" t="s">
        <v>223</v>
      </c>
      <c r="J137" s="16">
        <v>1</v>
      </c>
      <c r="K137" s="16">
        <v>2</v>
      </c>
      <c r="L137" s="13" t="s">
        <v>224</v>
      </c>
      <c r="M137" s="17">
        <v>46204</v>
      </c>
      <c r="N137" s="16"/>
      <c r="O137" s="16"/>
      <c r="P137" s="16">
        <v>1000000</v>
      </c>
      <c r="Q137" s="16">
        <v>1</v>
      </c>
      <c r="R137" s="16">
        <v>1000000</v>
      </c>
      <c r="S137" s="16">
        <v>1</v>
      </c>
      <c r="T137" s="16">
        <v>1000000</v>
      </c>
      <c r="U137" s="16">
        <v>1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8">
        <v>3000000</v>
      </c>
      <c r="AO137" s="18">
        <v>3</v>
      </c>
      <c r="AP137" s="18">
        <f>ROUNDDOWN(AN137,-3)</f>
        <v>3000000</v>
      </c>
      <c r="AQ137" s="18">
        <f ca="1">DATEDIF(M137,AS$1, "m")+1</f>
        <v>3</v>
      </c>
      <c r="AR137" s="18">
        <f ca="1">+H137*AQ137</f>
        <v>3000000</v>
      </c>
      <c r="AS137" s="19">
        <f ca="1">IF(H137=0,0,IF(AP137=(H137*6),"Smt-1 Lunas",IF(AP137=(H137*12),"SY2627 Lunas",AP137/AR137)))</f>
        <v>1</v>
      </c>
    </row>
    <row r="138" spans="2:45" ht="15" customHeight="1" x14ac:dyDescent="0.2">
      <c r="B138" s="13">
        <v>35</v>
      </c>
      <c r="C138" s="13" t="s">
        <v>53</v>
      </c>
      <c r="D138" s="13" t="s">
        <v>243</v>
      </c>
      <c r="E138" s="14">
        <v>34140112</v>
      </c>
      <c r="F138" s="15">
        <v>68605081629</v>
      </c>
      <c r="G138" s="15">
        <v>8121081629</v>
      </c>
      <c r="H138" s="16">
        <v>1000000</v>
      </c>
      <c r="I138" s="16" t="s">
        <v>223</v>
      </c>
      <c r="J138" s="16">
        <v>1</v>
      </c>
      <c r="K138" s="16">
        <v>2</v>
      </c>
      <c r="L138" s="13" t="s">
        <v>224</v>
      </c>
      <c r="M138" s="17">
        <v>46204</v>
      </c>
      <c r="N138" s="16"/>
      <c r="O138" s="16"/>
      <c r="P138" s="16">
        <v>1000000</v>
      </c>
      <c r="Q138" s="16">
        <v>1</v>
      </c>
      <c r="R138" s="16">
        <v>1000000</v>
      </c>
      <c r="S138" s="16">
        <v>1</v>
      </c>
      <c r="T138" s="16">
        <v>1000000</v>
      </c>
      <c r="U138" s="16">
        <v>1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8">
        <v>3000000</v>
      </c>
      <c r="AO138" s="18">
        <v>3</v>
      </c>
      <c r="AP138" s="18">
        <f>ROUNDDOWN(AN138,-3)</f>
        <v>3000000</v>
      </c>
      <c r="AQ138" s="18">
        <f ca="1">DATEDIF(M138,AS$1, "m")+1</f>
        <v>3</v>
      </c>
      <c r="AR138" s="18">
        <f ca="1">+H138*AQ138</f>
        <v>3000000</v>
      </c>
      <c r="AS138" s="19">
        <f ca="1">IF(H138=0,0,IF(AP138=(H138*6),"Smt-1 Lunas",IF(AP138=(H138*12),"SY2627 Lunas",AP138/AR138)))</f>
        <v>1</v>
      </c>
    </row>
    <row r="139" spans="2:45" ht="15" customHeight="1" x14ac:dyDescent="0.2">
      <c r="B139" s="13">
        <v>43</v>
      </c>
      <c r="C139" s="13" t="s">
        <v>58</v>
      </c>
      <c r="D139" s="13" t="s">
        <v>58</v>
      </c>
      <c r="E139" s="14">
        <v>34140132</v>
      </c>
      <c r="F139" s="15">
        <v>68605081519</v>
      </c>
      <c r="G139" s="15">
        <v>8121081519</v>
      </c>
      <c r="H139" s="16">
        <v>500000</v>
      </c>
      <c r="I139" s="16" t="s">
        <v>230</v>
      </c>
      <c r="J139" s="16">
        <v>1</v>
      </c>
      <c r="K139" s="16">
        <v>0</v>
      </c>
      <c r="L139" s="13" t="s">
        <v>224</v>
      </c>
      <c r="M139" s="17">
        <v>46204</v>
      </c>
      <c r="N139" s="16"/>
      <c r="O139" s="16"/>
      <c r="P139" s="16">
        <v>0</v>
      </c>
      <c r="Q139" s="16">
        <v>0</v>
      </c>
      <c r="R139" s="16">
        <v>0</v>
      </c>
      <c r="S139" s="16">
        <v>0</v>
      </c>
      <c r="T139" s="16">
        <v>3000000</v>
      </c>
      <c r="U139" s="16">
        <v>1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8">
        <v>3000000</v>
      </c>
      <c r="AO139" s="18">
        <v>1</v>
      </c>
      <c r="AP139" s="18">
        <f>ROUNDDOWN(AN139,-3)</f>
        <v>3000000</v>
      </c>
      <c r="AQ139" s="18">
        <f ca="1">DATEDIF(M139,AS$1, "m")+1</f>
        <v>3</v>
      </c>
      <c r="AR139" s="18">
        <f ca="1">+H139*AQ139</f>
        <v>1500000</v>
      </c>
      <c r="AS139" s="19" t="str">
        <f>IF(H139=0,0,IF(AP139=(H139*6),"Smt-1 Lunas",IF(AP139=(H139*12),"SY2627 Lunas",AP139/AR139)))</f>
        <v>Smt-1 Lunas</v>
      </c>
    </row>
    <row r="140" spans="2:45" ht="15" customHeight="1" x14ac:dyDescent="0.2">
      <c r="B140" s="13">
        <v>64</v>
      </c>
      <c r="C140" s="13" t="s">
        <v>75</v>
      </c>
      <c r="D140" s="13" t="s">
        <v>75</v>
      </c>
      <c r="E140" s="14">
        <v>34140183</v>
      </c>
      <c r="F140" s="15">
        <v>68605855683</v>
      </c>
      <c r="G140" s="15">
        <v>8161855683</v>
      </c>
      <c r="H140" s="16">
        <v>250000</v>
      </c>
      <c r="I140" s="16" t="s">
        <v>223</v>
      </c>
      <c r="J140" s="16">
        <v>0</v>
      </c>
      <c r="K140" s="16">
        <v>1</v>
      </c>
      <c r="L140" s="13" t="s">
        <v>224</v>
      </c>
      <c r="M140" s="17">
        <v>46204</v>
      </c>
      <c r="N140" s="16"/>
      <c r="O140" s="16"/>
      <c r="P140" s="16">
        <v>3000000</v>
      </c>
      <c r="Q140" s="16">
        <v>1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8">
        <v>3000000</v>
      </c>
      <c r="AO140" s="18">
        <v>1</v>
      </c>
      <c r="AP140" s="18">
        <f>ROUNDDOWN(AN140,-3)</f>
        <v>3000000</v>
      </c>
      <c r="AQ140" s="18">
        <f ca="1">DATEDIF(M140,AS$1, "m")+1</f>
        <v>3</v>
      </c>
      <c r="AR140" s="18">
        <f ca="1">+H140*AQ140</f>
        <v>750000</v>
      </c>
      <c r="AS140" s="19" t="str">
        <f>IF(H140=0,0,IF(AP140=(H140*6),"Smt-1 Lunas",IF(AP140=(H140*12),"SY2627 Lunas",AP140/AR140)))</f>
        <v>SY2627 Lunas</v>
      </c>
    </row>
    <row r="141" spans="2:45" ht="15" customHeight="1" x14ac:dyDescent="0.2">
      <c r="B141" s="13">
        <v>91</v>
      </c>
      <c r="C141" s="13" t="s">
        <v>98</v>
      </c>
      <c r="D141" s="13" t="s">
        <v>275</v>
      </c>
      <c r="E141" s="14">
        <v>34140260</v>
      </c>
      <c r="F141" s="15">
        <v>68605003007</v>
      </c>
      <c r="G141" s="15">
        <v>82113003007</v>
      </c>
      <c r="H141" s="16">
        <v>500000</v>
      </c>
      <c r="I141" s="16" t="s">
        <v>223</v>
      </c>
      <c r="J141" s="16">
        <v>0</v>
      </c>
      <c r="K141" s="16">
        <v>2</v>
      </c>
      <c r="L141" s="13" t="s">
        <v>224</v>
      </c>
      <c r="M141" s="17">
        <v>46204</v>
      </c>
      <c r="N141" s="16"/>
      <c r="O141" s="16"/>
      <c r="P141" s="16">
        <v>3000000</v>
      </c>
      <c r="Q141" s="16">
        <v>1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8">
        <v>3000000</v>
      </c>
      <c r="AO141" s="18">
        <v>1</v>
      </c>
      <c r="AP141" s="18">
        <f>ROUNDDOWN(AN141,-3)</f>
        <v>3000000</v>
      </c>
      <c r="AQ141" s="18">
        <f ca="1">DATEDIF(M141,AS$1, "m")+1</f>
        <v>3</v>
      </c>
      <c r="AR141" s="18">
        <f ca="1">+H141*AQ141</f>
        <v>1500000</v>
      </c>
      <c r="AS141" s="19" t="str">
        <f>IF(H141=0,0,IF(AP141=(H141*6),"Smt-1 Lunas",IF(AP141=(H141*12),"SY2627 Lunas",AP141/AR141)))</f>
        <v>Smt-1 Lunas</v>
      </c>
    </row>
    <row r="142" spans="2:45" ht="15" customHeight="1" x14ac:dyDescent="0.2">
      <c r="B142" s="13">
        <v>94</v>
      </c>
      <c r="C142" s="13" t="s">
        <v>100</v>
      </c>
      <c r="D142" s="13" t="s">
        <v>100</v>
      </c>
      <c r="E142" s="14">
        <v>34140274</v>
      </c>
      <c r="F142" s="15">
        <v>68605888402</v>
      </c>
      <c r="G142" s="15">
        <v>81282888402</v>
      </c>
      <c r="H142" s="16">
        <v>250000</v>
      </c>
      <c r="I142" s="16" t="s">
        <v>225</v>
      </c>
      <c r="J142" s="16">
        <v>0</v>
      </c>
      <c r="K142" s="16">
        <v>1</v>
      </c>
      <c r="L142" s="13" t="s">
        <v>224</v>
      </c>
      <c r="M142" s="17">
        <v>46204</v>
      </c>
      <c r="N142" s="16"/>
      <c r="O142" s="16"/>
      <c r="P142" s="16">
        <v>3000000</v>
      </c>
      <c r="Q142" s="16">
        <v>1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8">
        <v>3000000</v>
      </c>
      <c r="AO142" s="18">
        <v>1</v>
      </c>
      <c r="AP142" s="18">
        <f>ROUNDDOWN(AN142,-3)</f>
        <v>3000000</v>
      </c>
      <c r="AQ142" s="18">
        <f ca="1">DATEDIF(M142,AS$1, "m")+1</f>
        <v>3</v>
      </c>
      <c r="AR142" s="18">
        <f ca="1">+H142*AQ142</f>
        <v>750000</v>
      </c>
      <c r="AS142" s="19" t="str">
        <f>IF(H142=0,0,IF(AP142=(H142*6),"Smt-1 Lunas",IF(AP142=(H142*12),"SY2627 Lunas",AP142/AR142)))</f>
        <v>SY2627 Lunas</v>
      </c>
    </row>
    <row r="143" spans="2:45" ht="15" customHeight="1" x14ac:dyDescent="0.2">
      <c r="B143" s="13">
        <v>117</v>
      </c>
      <c r="C143" s="13" t="s">
        <v>112</v>
      </c>
      <c r="D143" s="13" t="s">
        <v>281</v>
      </c>
      <c r="E143" s="14">
        <v>34140389</v>
      </c>
      <c r="F143" s="15">
        <v>68605587789</v>
      </c>
      <c r="G143" s="15">
        <v>8111587789</v>
      </c>
      <c r="H143" s="16">
        <v>250000</v>
      </c>
      <c r="I143" s="16" t="s">
        <v>223</v>
      </c>
      <c r="J143" s="16">
        <v>0</v>
      </c>
      <c r="K143" s="16">
        <v>1</v>
      </c>
      <c r="L143" s="13" t="s">
        <v>224</v>
      </c>
      <c r="M143" s="17">
        <v>46204</v>
      </c>
      <c r="N143" s="16"/>
      <c r="O143" s="16"/>
      <c r="P143" s="16">
        <v>3000000</v>
      </c>
      <c r="Q143" s="16">
        <v>1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8">
        <v>3000000</v>
      </c>
      <c r="AO143" s="18">
        <v>1</v>
      </c>
      <c r="AP143" s="18">
        <f>ROUNDDOWN(AN143,-3)</f>
        <v>3000000</v>
      </c>
      <c r="AQ143" s="18">
        <f ca="1">DATEDIF(M143,AS$1, "m")+1</f>
        <v>3</v>
      </c>
      <c r="AR143" s="18">
        <f ca="1">+H143*AQ143</f>
        <v>750000</v>
      </c>
      <c r="AS143" s="19" t="str">
        <f>IF(H143=0,0,IF(AP143=(H143*6),"Smt-1 Lunas",IF(AP143=(H143*12),"SY2627 Lunas",AP143/AR143)))</f>
        <v>SY2627 Lunas</v>
      </c>
    </row>
    <row r="144" spans="2:45" ht="15" customHeight="1" x14ac:dyDescent="0.2">
      <c r="B144" s="13">
        <v>177</v>
      </c>
      <c r="C144" s="13" t="s">
        <v>157</v>
      </c>
      <c r="D144" s="13" t="s">
        <v>157</v>
      </c>
      <c r="E144" s="14">
        <v>34140451</v>
      </c>
      <c r="F144" s="15">
        <v>68605036289</v>
      </c>
      <c r="G144" s="15">
        <v>81385036289</v>
      </c>
      <c r="H144" s="16">
        <v>500000</v>
      </c>
      <c r="I144" s="16" t="s">
        <v>230</v>
      </c>
      <c r="J144" s="16">
        <v>1</v>
      </c>
      <c r="K144" s="16">
        <v>0</v>
      </c>
      <c r="L144" s="13" t="s">
        <v>224</v>
      </c>
      <c r="M144" s="17">
        <v>46204</v>
      </c>
      <c r="N144" s="16">
        <v>0</v>
      </c>
      <c r="O144" s="16">
        <v>0</v>
      </c>
      <c r="P144" s="16">
        <v>3000000</v>
      </c>
      <c r="Q144" s="16">
        <v>1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8">
        <v>3000000</v>
      </c>
      <c r="AO144" s="18">
        <v>1</v>
      </c>
      <c r="AP144" s="18">
        <f>ROUNDDOWN(AN144,-3)</f>
        <v>3000000</v>
      </c>
      <c r="AQ144" s="18">
        <f ca="1">DATEDIF(M144,AS$1, "m")+1</f>
        <v>3</v>
      </c>
      <c r="AR144" s="18">
        <f ca="1">+H144*AQ144</f>
        <v>1500000</v>
      </c>
      <c r="AS144" s="19" t="str">
        <f>IF(H144=0,0,IF(AP144=(H144*6),"Smt-1 Lunas",IF(AP144=(H144*12),"SY2627 Lunas",AP144/AR144)))</f>
        <v>Smt-1 Lunas</v>
      </c>
    </row>
    <row r="145" spans="2:45" ht="15" customHeight="1" x14ac:dyDescent="0.2">
      <c r="B145" s="13">
        <v>69</v>
      </c>
      <c r="C145" s="13" t="s">
        <v>80</v>
      </c>
      <c r="D145" s="13" t="s">
        <v>262</v>
      </c>
      <c r="E145" s="14">
        <v>34140191</v>
      </c>
      <c r="F145" s="15">
        <v>68605640023</v>
      </c>
      <c r="G145" s="15">
        <v>811640023</v>
      </c>
      <c r="H145" s="16">
        <v>1500000</v>
      </c>
      <c r="I145" s="16" t="s">
        <v>223</v>
      </c>
      <c r="J145" s="16">
        <v>2</v>
      </c>
      <c r="K145" s="16">
        <v>2</v>
      </c>
      <c r="L145" s="13" t="s">
        <v>224</v>
      </c>
      <c r="M145" s="17">
        <v>46204</v>
      </c>
      <c r="N145" s="16"/>
      <c r="O145" s="16"/>
      <c r="P145" s="16">
        <v>0</v>
      </c>
      <c r="Q145" s="16">
        <v>0</v>
      </c>
      <c r="R145" s="16">
        <v>2500000</v>
      </c>
      <c r="S145" s="16">
        <v>2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8">
        <v>2500000</v>
      </c>
      <c r="AO145" s="18">
        <v>2</v>
      </c>
      <c r="AP145" s="18">
        <f>ROUNDDOWN(AN145,-3)</f>
        <v>2500000</v>
      </c>
      <c r="AQ145" s="18">
        <f ca="1">DATEDIF(M145,AS$1, "m")+1</f>
        <v>3</v>
      </c>
      <c r="AR145" s="18">
        <f ca="1">+H145*AQ145</f>
        <v>4500000</v>
      </c>
      <c r="AS145" s="19">
        <f ca="1">IF(H145=0,0,IF(AP145=(H145*6),"Smt-1 Lunas",IF(AP145=(H145*12),"SY2627 Lunas",AP145/AR145)))</f>
        <v>0.55555555555555558</v>
      </c>
    </row>
    <row r="146" spans="2:45" ht="15" customHeight="1" x14ac:dyDescent="0.2">
      <c r="B146" s="13">
        <v>71</v>
      </c>
      <c r="C146" s="13" t="s">
        <v>81</v>
      </c>
      <c r="D146" s="13" t="s">
        <v>263</v>
      </c>
      <c r="E146" s="14">
        <v>34140195</v>
      </c>
      <c r="F146" s="15">
        <v>68605883398</v>
      </c>
      <c r="G146" s="15">
        <v>81807883398</v>
      </c>
      <c r="H146" s="16">
        <v>750000</v>
      </c>
      <c r="I146" s="16" t="s">
        <v>241</v>
      </c>
      <c r="J146" s="16">
        <v>1</v>
      </c>
      <c r="K146" s="16">
        <v>1</v>
      </c>
      <c r="L146" s="13" t="s">
        <v>224</v>
      </c>
      <c r="M146" s="17">
        <v>46204</v>
      </c>
      <c r="N146" s="16"/>
      <c r="O146" s="16"/>
      <c r="P146" s="16">
        <v>0</v>
      </c>
      <c r="Q146" s="16">
        <v>0</v>
      </c>
      <c r="R146" s="16">
        <v>2250000</v>
      </c>
      <c r="S146" s="16">
        <v>1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8">
        <v>2250000</v>
      </c>
      <c r="AO146" s="18">
        <v>1</v>
      </c>
      <c r="AP146" s="18">
        <f>ROUNDDOWN(AN146,-3)</f>
        <v>2250000</v>
      </c>
      <c r="AQ146" s="18">
        <f ca="1">DATEDIF(M146,AS$1, "m")+1</f>
        <v>3</v>
      </c>
      <c r="AR146" s="18">
        <f ca="1">+H146*AQ146</f>
        <v>2250000</v>
      </c>
      <c r="AS146" s="19">
        <f ca="1">IF(H146=0,0,IF(AP146=(H146*6),"Smt-1 Lunas",IF(AP146=(H146*12),"SY2627 Lunas",AP146/AR146)))</f>
        <v>1</v>
      </c>
    </row>
    <row r="147" spans="2:45" ht="15" customHeight="1" x14ac:dyDescent="0.2">
      <c r="B147" s="13">
        <v>84</v>
      </c>
      <c r="C147" s="13" t="s">
        <v>92</v>
      </c>
      <c r="D147" s="13" t="s">
        <v>271</v>
      </c>
      <c r="E147" s="14">
        <v>34140250</v>
      </c>
      <c r="F147" s="15">
        <v>68605995866</v>
      </c>
      <c r="G147" s="15">
        <v>8161995866</v>
      </c>
      <c r="H147" s="16">
        <v>1000000</v>
      </c>
      <c r="I147" s="16" t="s">
        <v>223</v>
      </c>
      <c r="J147" s="16">
        <v>1</v>
      </c>
      <c r="K147" s="16">
        <v>2</v>
      </c>
      <c r="L147" s="13" t="s">
        <v>224</v>
      </c>
      <c r="M147" s="17">
        <v>46204</v>
      </c>
      <c r="N147" s="16"/>
      <c r="O147" s="16"/>
      <c r="P147" s="16">
        <v>1000250</v>
      </c>
      <c r="Q147" s="16">
        <v>1</v>
      </c>
      <c r="R147" s="16">
        <v>1000000</v>
      </c>
      <c r="S147" s="16">
        <v>1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8">
        <v>2000250</v>
      </c>
      <c r="AO147" s="18">
        <v>2</v>
      </c>
      <c r="AP147" s="18">
        <f>ROUNDDOWN(AN147,-3)</f>
        <v>2000000</v>
      </c>
      <c r="AQ147" s="18">
        <f ca="1">DATEDIF(M147,AS$1, "m")+1</f>
        <v>3</v>
      </c>
      <c r="AR147" s="18">
        <f ca="1">+H147*AQ147</f>
        <v>3000000</v>
      </c>
      <c r="AS147" s="19">
        <f ca="1">IF(H147=0,0,IF(AP147=(H147*6),"Smt-1 Lunas",IF(AP147=(H147*12),"SY2627 Lunas",AP147/AR147)))</f>
        <v>0.66666666666666663</v>
      </c>
    </row>
    <row r="148" spans="2:45" ht="15" customHeight="1" x14ac:dyDescent="0.2">
      <c r="B148" s="13">
        <v>18</v>
      </c>
      <c r="C148" s="13" t="s">
        <v>43</v>
      </c>
      <c r="D148" s="13" t="s">
        <v>233</v>
      </c>
      <c r="E148" s="14">
        <v>34140057</v>
      </c>
      <c r="F148" s="15">
        <v>68605774357</v>
      </c>
      <c r="G148" s="15">
        <v>8118117357</v>
      </c>
      <c r="H148" s="16">
        <v>750000</v>
      </c>
      <c r="I148" s="16" t="s">
        <v>223</v>
      </c>
      <c r="J148" s="16">
        <v>0</v>
      </c>
      <c r="K148" s="16">
        <v>3</v>
      </c>
      <c r="L148" s="13" t="s">
        <v>224</v>
      </c>
      <c r="M148" s="17">
        <v>46204</v>
      </c>
      <c r="N148" s="16"/>
      <c r="O148" s="16"/>
      <c r="P148" s="16">
        <v>1250114</v>
      </c>
      <c r="Q148" s="16">
        <v>2</v>
      </c>
      <c r="R148" s="16">
        <v>750057</v>
      </c>
      <c r="S148" s="16">
        <v>1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8">
        <v>2000171</v>
      </c>
      <c r="AO148" s="18">
        <v>3</v>
      </c>
      <c r="AP148" s="18">
        <f>ROUNDDOWN(AN148,-3)</f>
        <v>2000000</v>
      </c>
      <c r="AQ148" s="18">
        <f ca="1">DATEDIF(M148,AS$1, "m")+1</f>
        <v>3</v>
      </c>
      <c r="AR148" s="18">
        <f ca="1">+H148*AQ148</f>
        <v>2250000</v>
      </c>
      <c r="AS148" s="19">
        <f ca="1">IF(H148=0,0,IF(AP148=(H148*6),"Smt-1 Lunas",IF(AP148=(H148*12),"SY2627 Lunas",AP148/AR148)))</f>
        <v>0.88888888888888884</v>
      </c>
    </row>
    <row r="149" spans="2:45" ht="15" customHeight="1" x14ac:dyDescent="0.2">
      <c r="B149" s="13">
        <v>22</v>
      </c>
      <c r="C149" s="13" t="s">
        <v>45</v>
      </c>
      <c r="D149" s="13" t="s">
        <v>45</v>
      </c>
      <c r="E149" s="14">
        <v>34140073</v>
      </c>
      <c r="F149" s="15">
        <v>68605760134</v>
      </c>
      <c r="G149" s="15">
        <v>816760134</v>
      </c>
      <c r="H149" s="16">
        <v>500000</v>
      </c>
      <c r="I149" s="16" t="s">
        <v>223</v>
      </c>
      <c r="J149" s="16">
        <v>1</v>
      </c>
      <c r="K149" s="16">
        <v>0</v>
      </c>
      <c r="L149" s="13" t="s">
        <v>224</v>
      </c>
      <c r="M149" s="17">
        <v>46204</v>
      </c>
      <c r="N149" s="16"/>
      <c r="O149" s="16"/>
      <c r="P149" s="16">
        <v>500073</v>
      </c>
      <c r="Q149" s="16">
        <v>1</v>
      </c>
      <c r="R149" s="16">
        <v>500073</v>
      </c>
      <c r="S149" s="16">
        <v>1</v>
      </c>
      <c r="T149" s="16">
        <v>500073</v>
      </c>
      <c r="U149" s="16">
        <v>1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8">
        <v>1500219</v>
      </c>
      <c r="AO149" s="18">
        <v>3</v>
      </c>
      <c r="AP149" s="18">
        <f>ROUNDDOWN(AN149,-3)</f>
        <v>1500000</v>
      </c>
      <c r="AQ149" s="18">
        <f ca="1">DATEDIF(M149,AS$1, "m")+1</f>
        <v>3</v>
      </c>
      <c r="AR149" s="18">
        <f ca="1">+H149*AQ149</f>
        <v>1500000</v>
      </c>
      <c r="AS149" s="19">
        <f ca="1">IF(H149=0,0,IF(AP149=(H149*6),"Smt-1 Lunas",IF(AP149=(H149*12),"SY2627 Lunas",AP149/AR149)))</f>
        <v>1</v>
      </c>
    </row>
    <row r="150" spans="2:45" ht="15" customHeight="1" x14ac:dyDescent="0.2">
      <c r="B150" s="13">
        <v>31</v>
      </c>
      <c r="C150" s="13" t="s">
        <v>51</v>
      </c>
      <c r="D150" s="13" t="s">
        <v>242</v>
      </c>
      <c r="E150" s="14">
        <v>34140098</v>
      </c>
      <c r="F150" s="15">
        <v>68605256794</v>
      </c>
      <c r="G150" s="15">
        <v>8129256794</v>
      </c>
      <c r="H150" s="16">
        <v>500000</v>
      </c>
      <c r="I150" s="16" t="s">
        <v>223</v>
      </c>
      <c r="J150" s="16">
        <v>0</v>
      </c>
      <c r="K150" s="16">
        <v>2</v>
      </c>
      <c r="L150" s="13" t="s">
        <v>224</v>
      </c>
      <c r="M150" s="17">
        <v>46204</v>
      </c>
      <c r="N150" s="16"/>
      <c r="O150" s="16"/>
      <c r="P150" s="16">
        <v>500098</v>
      </c>
      <c r="Q150" s="16">
        <v>1</v>
      </c>
      <c r="R150" s="16">
        <v>500098</v>
      </c>
      <c r="S150" s="16">
        <v>1</v>
      </c>
      <c r="T150" s="16">
        <v>500000</v>
      </c>
      <c r="U150" s="16">
        <v>1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8">
        <v>1500196</v>
      </c>
      <c r="AO150" s="18">
        <v>3</v>
      </c>
      <c r="AP150" s="18">
        <f>ROUNDDOWN(AN150,-3)</f>
        <v>1500000</v>
      </c>
      <c r="AQ150" s="18">
        <f ca="1">DATEDIF(M150,AS$1, "m")+1</f>
        <v>3</v>
      </c>
      <c r="AR150" s="18">
        <f ca="1">+H150*AQ150</f>
        <v>1500000</v>
      </c>
      <c r="AS150" s="19">
        <f ca="1">IF(H150=0,0,IF(AP150=(H150*6),"Smt-1 Lunas",IF(AP150=(H150*12),"SY2627 Lunas",AP150/AR150)))</f>
        <v>1</v>
      </c>
    </row>
    <row r="151" spans="2:45" ht="15" customHeight="1" x14ac:dyDescent="0.2">
      <c r="B151" s="13">
        <v>57</v>
      </c>
      <c r="C151" s="13" t="s">
        <v>69</v>
      </c>
      <c r="D151" s="13" t="s">
        <v>253</v>
      </c>
      <c r="E151" s="14">
        <v>34140156</v>
      </c>
      <c r="F151" s="15">
        <v>68605148727</v>
      </c>
      <c r="G151" s="15">
        <v>81291148727</v>
      </c>
      <c r="H151" s="16">
        <v>250000</v>
      </c>
      <c r="I151" s="16" t="s">
        <v>230</v>
      </c>
      <c r="J151" s="16">
        <v>0</v>
      </c>
      <c r="K151" s="16">
        <v>1</v>
      </c>
      <c r="L151" s="13" t="s">
        <v>224</v>
      </c>
      <c r="M151" s="17">
        <v>46204</v>
      </c>
      <c r="N151" s="16"/>
      <c r="O151" s="16"/>
      <c r="P151" s="16">
        <v>0</v>
      </c>
      <c r="Q151" s="16">
        <v>0</v>
      </c>
      <c r="R151" s="16">
        <v>1500156</v>
      </c>
      <c r="S151" s="16">
        <v>1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8">
        <v>1500156</v>
      </c>
      <c r="AO151" s="18">
        <v>1</v>
      </c>
      <c r="AP151" s="18">
        <f>ROUNDDOWN(AN151,-3)</f>
        <v>1500000</v>
      </c>
      <c r="AQ151" s="18">
        <f ca="1">DATEDIF(M151,AS$1, "m")+1</f>
        <v>3</v>
      </c>
      <c r="AR151" s="18">
        <f ca="1">+H151*AQ151</f>
        <v>750000</v>
      </c>
      <c r="AS151" s="19" t="str">
        <f>IF(H151=0,0,IF(AP151=(H151*6),"Smt-1 Lunas",IF(AP151=(H151*12),"SY2627 Lunas",AP151/AR151)))</f>
        <v>Smt-1 Lunas</v>
      </c>
    </row>
    <row r="152" spans="2:45" ht="15" customHeight="1" x14ac:dyDescent="0.2">
      <c r="B152" s="13">
        <v>1</v>
      </c>
      <c r="C152" s="13" t="s">
        <v>33</v>
      </c>
      <c r="D152" s="13" t="s">
        <v>33</v>
      </c>
      <c r="E152" s="14">
        <v>34140002</v>
      </c>
      <c r="F152" s="15">
        <v>68605836830</v>
      </c>
      <c r="G152" s="15">
        <v>85814836830</v>
      </c>
      <c r="H152" s="16">
        <v>500000</v>
      </c>
      <c r="I152" s="16" t="s">
        <v>223</v>
      </c>
      <c r="J152" s="16">
        <v>1</v>
      </c>
      <c r="K152" s="16">
        <v>0</v>
      </c>
      <c r="L152" s="13" t="s">
        <v>224</v>
      </c>
      <c r="M152" s="17">
        <v>46204</v>
      </c>
      <c r="N152" s="16"/>
      <c r="O152" s="16"/>
      <c r="P152" s="16">
        <v>500002</v>
      </c>
      <c r="Q152" s="16">
        <v>1</v>
      </c>
      <c r="R152" s="16">
        <v>500002</v>
      </c>
      <c r="S152" s="16">
        <v>1</v>
      </c>
      <c r="T152" s="16">
        <v>500000</v>
      </c>
      <c r="U152" s="16">
        <v>1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8">
        <v>1500004</v>
      </c>
      <c r="AO152" s="18">
        <v>3</v>
      </c>
      <c r="AP152" s="18">
        <f>ROUNDDOWN(AN152,-3)</f>
        <v>1500000</v>
      </c>
      <c r="AQ152" s="18">
        <f ca="1">DATEDIF(M152,AS$1, "m")+1</f>
        <v>3</v>
      </c>
      <c r="AR152" s="18">
        <f ca="1">+H152*AQ152</f>
        <v>1500000</v>
      </c>
      <c r="AS152" s="19">
        <f ca="1">IF(H152=0,0,IF(AP152=(H152*6),"Smt-1 Lunas",IF(AP152=(H152*12),"SY2627 Lunas",AP152/AR152)))</f>
        <v>1</v>
      </c>
    </row>
    <row r="153" spans="2:45" ht="15" customHeight="1" x14ac:dyDescent="0.2">
      <c r="B153" s="13">
        <v>17</v>
      </c>
      <c r="C153" s="13" t="s">
        <v>42</v>
      </c>
      <c r="D153" s="13" t="s">
        <v>232</v>
      </c>
      <c r="E153" s="14">
        <v>34140056</v>
      </c>
      <c r="F153" s="15">
        <v>68605331804</v>
      </c>
      <c r="G153" s="15">
        <v>8111331804</v>
      </c>
      <c r="H153" s="16">
        <v>250000</v>
      </c>
      <c r="I153" s="16" t="s">
        <v>230</v>
      </c>
      <c r="J153" s="16">
        <v>0</v>
      </c>
      <c r="K153" s="16">
        <v>1</v>
      </c>
      <c r="L153" s="13" t="s">
        <v>224</v>
      </c>
      <c r="M153" s="17">
        <v>46204</v>
      </c>
      <c r="N153" s="16">
        <v>1500000</v>
      </c>
      <c r="O153" s="16">
        <v>1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8">
        <v>1500000</v>
      </c>
      <c r="AO153" s="18">
        <v>1</v>
      </c>
      <c r="AP153" s="18">
        <f>ROUNDDOWN(AN153,-3)</f>
        <v>1500000</v>
      </c>
      <c r="AQ153" s="18">
        <f ca="1">DATEDIF(M153,AS$1, "m")+1</f>
        <v>3</v>
      </c>
      <c r="AR153" s="18">
        <f ca="1">+H153*AQ153</f>
        <v>750000</v>
      </c>
      <c r="AS153" s="19" t="str">
        <f>IF(H153=0,0,IF(AP153=(H153*6),"Smt-1 Lunas",IF(AP153=(H153*12),"SY2627 Lunas",AP153/AR153)))</f>
        <v>Smt-1 Lunas</v>
      </c>
    </row>
    <row r="154" spans="2:45" ht="15" customHeight="1" x14ac:dyDescent="0.2">
      <c r="B154" s="13">
        <v>24</v>
      </c>
      <c r="C154" s="13" t="s">
        <v>46</v>
      </c>
      <c r="D154" s="13" t="s">
        <v>234</v>
      </c>
      <c r="E154" s="14">
        <v>34140076</v>
      </c>
      <c r="F154" s="15">
        <v>68605194564</v>
      </c>
      <c r="G154" s="15">
        <v>8128194564</v>
      </c>
      <c r="H154" s="16">
        <v>750000</v>
      </c>
      <c r="I154" s="16" t="s">
        <v>223</v>
      </c>
      <c r="J154" s="16">
        <v>1</v>
      </c>
      <c r="K154" s="16">
        <v>1</v>
      </c>
      <c r="L154" s="13" t="s">
        <v>224</v>
      </c>
      <c r="M154" s="17">
        <v>46204</v>
      </c>
      <c r="N154" s="16"/>
      <c r="O154" s="16"/>
      <c r="P154" s="16">
        <v>750000</v>
      </c>
      <c r="Q154" s="16">
        <v>1</v>
      </c>
      <c r="R154" s="16">
        <v>750000</v>
      </c>
      <c r="S154" s="16">
        <v>1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8">
        <v>1500000</v>
      </c>
      <c r="AO154" s="18">
        <v>2</v>
      </c>
      <c r="AP154" s="18">
        <f>ROUNDDOWN(AN154,-3)</f>
        <v>1500000</v>
      </c>
      <c r="AQ154" s="18">
        <f ca="1">DATEDIF(M154,AS$1, "m")+1</f>
        <v>3</v>
      </c>
      <c r="AR154" s="18">
        <f ca="1">+H154*AQ154</f>
        <v>2250000</v>
      </c>
      <c r="AS154" s="19">
        <f ca="1">IF(H154=0,0,IF(AP154=(H154*6),"Smt-1 Lunas",IF(AP154=(H154*12),"SY2627 Lunas",AP154/AR154)))</f>
        <v>0.66666666666666663</v>
      </c>
    </row>
    <row r="155" spans="2:45" ht="15" customHeight="1" x14ac:dyDescent="0.2">
      <c r="B155" s="13">
        <v>45</v>
      </c>
      <c r="C155" s="13" t="s">
        <v>60</v>
      </c>
      <c r="D155" s="13" t="s">
        <v>246</v>
      </c>
      <c r="E155" s="14">
        <v>34140134</v>
      </c>
      <c r="F155" s="15">
        <v>68605811028</v>
      </c>
      <c r="G155" s="15">
        <v>81281811028</v>
      </c>
      <c r="H155" s="16">
        <v>250000</v>
      </c>
      <c r="I155" s="16" t="s">
        <v>223</v>
      </c>
      <c r="J155" s="16">
        <v>0</v>
      </c>
      <c r="K155" s="16">
        <v>1</v>
      </c>
      <c r="L155" s="13" t="s">
        <v>224</v>
      </c>
      <c r="M155" s="17">
        <v>46204</v>
      </c>
      <c r="N155" s="16"/>
      <c r="O155" s="16"/>
      <c r="P155" s="16">
        <v>1500000</v>
      </c>
      <c r="Q155" s="16">
        <v>1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8">
        <v>1500000</v>
      </c>
      <c r="AO155" s="18">
        <v>1</v>
      </c>
      <c r="AP155" s="18">
        <f>ROUNDDOWN(AN155,-3)</f>
        <v>1500000</v>
      </c>
      <c r="AQ155" s="18">
        <f ca="1">DATEDIF(M155,AS$1, "m")+1</f>
        <v>3</v>
      </c>
      <c r="AR155" s="18">
        <f ca="1">+H155*AQ155</f>
        <v>750000</v>
      </c>
      <c r="AS155" s="19" t="str">
        <f>IF(H155=0,0,IF(AP155=(H155*6),"Smt-1 Lunas",IF(AP155=(H155*12),"SY2627 Lunas",AP155/AR155)))</f>
        <v>Smt-1 Lunas</v>
      </c>
    </row>
    <row r="156" spans="2:45" ht="15" customHeight="1" x14ac:dyDescent="0.2">
      <c r="B156" s="13">
        <v>54</v>
      </c>
      <c r="C156" s="13" t="s">
        <v>66</v>
      </c>
      <c r="D156" s="13" t="s">
        <v>251</v>
      </c>
      <c r="E156" s="14">
        <v>34140153</v>
      </c>
      <c r="F156" s="15">
        <v>68605302860</v>
      </c>
      <c r="G156" s="15">
        <v>8118302860</v>
      </c>
      <c r="H156" s="16">
        <v>500000</v>
      </c>
      <c r="I156" s="16" t="s">
        <v>223</v>
      </c>
      <c r="J156" s="16">
        <v>0</v>
      </c>
      <c r="K156" s="16">
        <v>2</v>
      </c>
      <c r="L156" s="13" t="s">
        <v>224</v>
      </c>
      <c r="M156" s="17">
        <v>46204</v>
      </c>
      <c r="N156" s="16"/>
      <c r="O156" s="16"/>
      <c r="P156" s="16">
        <v>500000</v>
      </c>
      <c r="Q156" s="16">
        <v>1</v>
      </c>
      <c r="R156" s="16">
        <v>500000</v>
      </c>
      <c r="S156" s="16">
        <v>1</v>
      </c>
      <c r="T156" s="16">
        <v>500000</v>
      </c>
      <c r="U156" s="16">
        <v>1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8">
        <v>1500000</v>
      </c>
      <c r="AO156" s="18">
        <v>3</v>
      </c>
      <c r="AP156" s="18">
        <f>ROUNDDOWN(AN156,-3)</f>
        <v>1500000</v>
      </c>
      <c r="AQ156" s="18">
        <f ca="1">DATEDIF(M156,AS$1, "m")+1</f>
        <v>3</v>
      </c>
      <c r="AR156" s="18">
        <f ca="1">+H156*AQ156</f>
        <v>1500000</v>
      </c>
      <c r="AS156" s="19">
        <f ca="1">IF(H156=0,0,IF(AP156=(H156*6),"Smt-1 Lunas",IF(AP156=(H156*12),"SY2627 Lunas",AP156/AR156)))</f>
        <v>1</v>
      </c>
    </row>
    <row r="157" spans="2:45" ht="15" customHeight="1" x14ac:dyDescent="0.2">
      <c r="B157" s="13">
        <v>55</v>
      </c>
      <c r="C157" s="13" t="s">
        <v>67</v>
      </c>
      <c r="D157" s="13" t="s">
        <v>252</v>
      </c>
      <c r="E157" s="14">
        <v>34140154</v>
      </c>
      <c r="F157" s="15">
        <v>68605000132</v>
      </c>
      <c r="G157" s="15">
        <v>81318000132</v>
      </c>
      <c r="H157" s="16">
        <v>500000</v>
      </c>
      <c r="I157" s="16" t="s">
        <v>223</v>
      </c>
      <c r="J157" s="16">
        <v>0</v>
      </c>
      <c r="K157" s="16">
        <v>2</v>
      </c>
      <c r="L157" s="13" t="s">
        <v>224</v>
      </c>
      <c r="M157" s="17">
        <v>46204</v>
      </c>
      <c r="N157" s="16"/>
      <c r="O157" s="16"/>
      <c r="P157" s="16">
        <v>500000</v>
      </c>
      <c r="Q157" s="16">
        <v>1</v>
      </c>
      <c r="R157" s="16">
        <v>500000</v>
      </c>
      <c r="S157" s="16">
        <v>1</v>
      </c>
      <c r="T157" s="16">
        <v>500000</v>
      </c>
      <c r="U157" s="16">
        <v>1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8">
        <v>1500000</v>
      </c>
      <c r="AO157" s="18">
        <v>3</v>
      </c>
      <c r="AP157" s="18">
        <f>ROUNDDOWN(AN157,-3)</f>
        <v>1500000</v>
      </c>
      <c r="AQ157" s="18">
        <f ca="1">DATEDIF(M157,AS$1, "m")+1</f>
        <v>3</v>
      </c>
      <c r="AR157" s="18">
        <f ca="1">+H157*AQ157</f>
        <v>1500000</v>
      </c>
      <c r="AS157" s="19">
        <f ca="1">IF(H157=0,0,IF(AP157=(H157*6),"Smt-1 Lunas",IF(AP157=(H157*12),"SY2627 Lunas",AP157/AR157)))</f>
        <v>1</v>
      </c>
    </row>
    <row r="158" spans="2:45" ht="15" customHeight="1" x14ac:dyDescent="0.2">
      <c r="B158" s="13">
        <v>56</v>
      </c>
      <c r="C158" s="13" t="s">
        <v>68</v>
      </c>
      <c r="D158" s="13" t="s">
        <v>68</v>
      </c>
      <c r="E158" s="14">
        <v>34140155</v>
      </c>
      <c r="F158" s="15">
        <v>68605000133</v>
      </c>
      <c r="G158" s="15">
        <v>81318000132</v>
      </c>
      <c r="H158" s="16">
        <v>500000</v>
      </c>
      <c r="I158" s="16" t="s">
        <v>223</v>
      </c>
      <c r="J158" s="16">
        <v>0</v>
      </c>
      <c r="K158" s="16">
        <v>2</v>
      </c>
      <c r="L158" s="13" t="s">
        <v>224</v>
      </c>
      <c r="M158" s="17">
        <v>46204</v>
      </c>
      <c r="N158" s="16"/>
      <c r="O158" s="16"/>
      <c r="P158" s="16">
        <v>500000</v>
      </c>
      <c r="Q158" s="16">
        <v>1</v>
      </c>
      <c r="R158" s="16">
        <v>500000</v>
      </c>
      <c r="S158" s="16">
        <v>1</v>
      </c>
      <c r="T158" s="16">
        <v>500000</v>
      </c>
      <c r="U158" s="16">
        <v>1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8">
        <v>1500000</v>
      </c>
      <c r="AO158" s="18">
        <v>3</v>
      </c>
      <c r="AP158" s="18">
        <f>ROUNDDOWN(AN158,-3)</f>
        <v>1500000</v>
      </c>
      <c r="AQ158" s="18">
        <f ca="1">DATEDIF(M158,AS$1, "m")+1</f>
        <v>3</v>
      </c>
      <c r="AR158" s="18">
        <f ca="1">+H158*AQ158</f>
        <v>1500000</v>
      </c>
      <c r="AS158" s="19">
        <f ca="1">IF(H158=0,0,IF(AP158=(H158*6),"Smt-1 Lunas",IF(AP158=(H158*12),"SY2627 Lunas",AP158/AR158)))</f>
        <v>1</v>
      </c>
    </row>
    <row r="159" spans="2:45" ht="15" customHeight="1" x14ac:dyDescent="0.2">
      <c r="B159" s="13">
        <v>72</v>
      </c>
      <c r="C159" s="13" t="s">
        <v>82</v>
      </c>
      <c r="D159" s="13" t="s">
        <v>264</v>
      </c>
      <c r="E159" s="14">
        <v>34140197</v>
      </c>
      <c r="F159" s="15">
        <v>68605353505</v>
      </c>
      <c r="G159" s="15">
        <v>81318353505</v>
      </c>
      <c r="H159" s="16">
        <v>500000</v>
      </c>
      <c r="I159" s="16" t="s">
        <v>241</v>
      </c>
      <c r="J159" s="16">
        <v>0</v>
      </c>
      <c r="K159" s="16">
        <v>2</v>
      </c>
      <c r="L159" s="13" t="s">
        <v>224</v>
      </c>
      <c r="M159" s="17">
        <v>46204</v>
      </c>
      <c r="N159" s="16"/>
      <c r="O159" s="16"/>
      <c r="P159" s="16">
        <v>1500000</v>
      </c>
      <c r="Q159" s="16">
        <v>1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8">
        <v>1500000</v>
      </c>
      <c r="AO159" s="18">
        <v>1</v>
      </c>
      <c r="AP159" s="18">
        <f>ROUNDDOWN(AN159,-3)</f>
        <v>1500000</v>
      </c>
      <c r="AQ159" s="18">
        <f ca="1">DATEDIF(M159,AS$1, "m")+1</f>
        <v>3</v>
      </c>
      <c r="AR159" s="18">
        <f ca="1">+H159*AQ159</f>
        <v>1500000</v>
      </c>
      <c r="AS159" s="19">
        <f ca="1">IF(H159=0,0,IF(AP159=(H159*6),"Smt-1 Lunas",IF(AP159=(H159*12),"SY2627 Lunas",AP159/AR159)))</f>
        <v>1</v>
      </c>
    </row>
    <row r="160" spans="2:45" ht="15" customHeight="1" x14ac:dyDescent="0.2">
      <c r="B160" s="13">
        <v>81</v>
      </c>
      <c r="C160" s="13" t="s">
        <v>89</v>
      </c>
      <c r="D160" s="13" t="s">
        <v>268</v>
      </c>
      <c r="E160" s="14">
        <v>34140245</v>
      </c>
      <c r="F160" s="15">
        <v>68605251200</v>
      </c>
      <c r="G160" s="15">
        <v>81242251200</v>
      </c>
      <c r="H160" s="16">
        <v>750000</v>
      </c>
      <c r="I160" s="16" t="s">
        <v>223</v>
      </c>
      <c r="J160" s="16">
        <v>0</v>
      </c>
      <c r="K160" s="16">
        <v>3</v>
      </c>
      <c r="L160" s="13" t="s">
        <v>224</v>
      </c>
      <c r="M160" s="17">
        <v>46204</v>
      </c>
      <c r="N160" s="16"/>
      <c r="O160" s="16"/>
      <c r="P160" s="16">
        <v>750000</v>
      </c>
      <c r="Q160" s="16">
        <v>1</v>
      </c>
      <c r="R160" s="16">
        <v>750000</v>
      </c>
      <c r="S160" s="16">
        <v>1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8">
        <v>1500000</v>
      </c>
      <c r="AO160" s="18">
        <v>2</v>
      </c>
      <c r="AP160" s="18">
        <f>ROUNDDOWN(AN160,-3)</f>
        <v>1500000</v>
      </c>
      <c r="AQ160" s="18">
        <f ca="1">DATEDIF(M160,AS$1, "m")+1</f>
        <v>3</v>
      </c>
      <c r="AR160" s="18">
        <f ca="1">+H160*AQ160</f>
        <v>2250000</v>
      </c>
      <c r="AS160" s="19">
        <f ca="1">IF(H160=0,0,IF(AP160=(H160*6),"Smt-1 Lunas",IF(AP160=(H160*12),"SY2627 Lunas",AP160/AR160)))</f>
        <v>0.66666666666666663</v>
      </c>
    </row>
    <row r="161" spans="2:45" ht="15" customHeight="1" x14ac:dyDescent="0.2">
      <c r="B161" s="13">
        <v>87</v>
      </c>
      <c r="C161" s="13" t="s">
        <v>94</v>
      </c>
      <c r="D161" s="13" t="s">
        <v>273</v>
      </c>
      <c r="E161" s="14">
        <v>34140254</v>
      </c>
      <c r="F161" s="15">
        <v>68605873585</v>
      </c>
      <c r="G161" s="15">
        <v>81586873585</v>
      </c>
      <c r="H161" s="16">
        <v>750000</v>
      </c>
      <c r="I161" s="16" t="s">
        <v>223</v>
      </c>
      <c r="J161" s="16">
        <v>1</v>
      </c>
      <c r="K161" s="16">
        <v>1</v>
      </c>
      <c r="L161" s="13" t="s">
        <v>224</v>
      </c>
      <c r="M161" s="17">
        <v>46204</v>
      </c>
      <c r="N161" s="16"/>
      <c r="O161" s="16"/>
      <c r="P161" s="16">
        <v>0</v>
      </c>
      <c r="Q161" s="16">
        <v>0</v>
      </c>
      <c r="R161" s="16">
        <v>1500000</v>
      </c>
      <c r="S161" s="16">
        <v>2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8">
        <v>1500000</v>
      </c>
      <c r="AO161" s="18">
        <v>2</v>
      </c>
      <c r="AP161" s="18">
        <f>ROUNDDOWN(AN161,-3)</f>
        <v>1500000</v>
      </c>
      <c r="AQ161" s="18">
        <f ca="1">DATEDIF(M161,AS$1, "m")+1</f>
        <v>3</v>
      </c>
      <c r="AR161" s="18">
        <f ca="1">+H161*AQ161</f>
        <v>2250000</v>
      </c>
      <c r="AS161" s="19">
        <f ca="1">IF(H161=0,0,IF(AP161=(H161*6),"Smt-1 Lunas",IF(AP161=(H161*12),"SY2627 Lunas",AP161/AR161)))</f>
        <v>0.66666666666666663</v>
      </c>
    </row>
    <row r="162" spans="2:45" ht="15" customHeight="1" x14ac:dyDescent="0.2">
      <c r="B162" s="13">
        <v>155</v>
      </c>
      <c r="C162" s="13" t="s">
        <v>135</v>
      </c>
      <c r="D162" s="13" t="s">
        <v>135</v>
      </c>
      <c r="E162" s="14">
        <v>34140429</v>
      </c>
      <c r="F162" s="15">
        <v>68605024112</v>
      </c>
      <c r="G162" s="15">
        <v>8122024112</v>
      </c>
      <c r="H162" s="16">
        <v>500000</v>
      </c>
      <c r="I162" s="16" t="s">
        <v>223</v>
      </c>
      <c r="J162" s="16">
        <v>0</v>
      </c>
      <c r="K162" s="16">
        <v>2</v>
      </c>
      <c r="L162" s="13" t="s">
        <v>224</v>
      </c>
      <c r="M162" s="17">
        <v>46174</v>
      </c>
      <c r="N162" s="16">
        <v>500000</v>
      </c>
      <c r="O162" s="16">
        <v>1</v>
      </c>
      <c r="P162" s="16">
        <v>500000</v>
      </c>
      <c r="Q162" s="16">
        <v>1</v>
      </c>
      <c r="R162" s="16">
        <v>500000</v>
      </c>
      <c r="S162" s="16">
        <v>1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8">
        <v>1500000</v>
      </c>
      <c r="AO162" s="18">
        <v>3</v>
      </c>
      <c r="AP162" s="18">
        <f>ROUNDDOWN(AN162,-3)</f>
        <v>1500000</v>
      </c>
      <c r="AQ162" s="18">
        <f ca="1">DATEDIF(M162,AS$1, "m")+1</f>
        <v>4</v>
      </c>
      <c r="AR162" s="18">
        <f ca="1">+H162*AQ162</f>
        <v>2000000</v>
      </c>
      <c r="AS162" s="19">
        <f ca="1">IF(H162=0,0,IF(AP162=(H162*6),"Smt-1 Lunas",IF(AP162=(H162*12),"SY2627 Lunas",AP162/AR162)))</f>
        <v>0.75</v>
      </c>
    </row>
    <row r="163" spans="2:45" ht="15" customHeight="1" x14ac:dyDescent="0.2">
      <c r="B163" s="13">
        <v>10</v>
      </c>
      <c r="C163" s="13" t="s">
        <v>38</v>
      </c>
      <c r="D163" s="13" t="s">
        <v>227</v>
      </c>
      <c r="E163" s="14">
        <v>34140036</v>
      </c>
      <c r="F163" s="15">
        <v>68605130678</v>
      </c>
      <c r="G163" s="15">
        <v>8128130678</v>
      </c>
      <c r="H163" s="16">
        <v>500000</v>
      </c>
      <c r="I163" s="16" t="s">
        <v>223</v>
      </c>
      <c r="J163" s="16">
        <v>0</v>
      </c>
      <c r="K163" s="16">
        <v>2</v>
      </c>
      <c r="L163" s="13" t="s">
        <v>224</v>
      </c>
      <c r="M163" s="17">
        <v>46204</v>
      </c>
      <c r="N163" s="16"/>
      <c r="O163" s="16"/>
      <c r="P163" s="16">
        <v>500000</v>
      </c>
      <c r="Q163" s="16">
        <v>1</v>
      </c>
      <c r="R163" s="16">
        <v>500000</v>
      </c>
      <c r="S163" s="16">
        <v>1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8">
        <v>1000000</v>
      </c>
      <c r="AO163" s="18">
        <v>2</v>
      </c>
      <c r="AP163" s="18">
        <f>ROUNDDOWN(AN163,-3)</f>
        <v>1000000</v>
      </c>
      <c r="AQ163" s="18">
        <f ca="1">DATEDIF(M163,AS$1, "m")+1</f>
        <v>3</v>
      </c>
      <c r="AR163" s="18">
        <f ca="1">+H163*AQ163</f>
        <v>1500000</v>
      </c>
      <c r="AS163" s="19">
        <f ca="1">IF(H163=0,0,IF(AP163=(H163*6),"Smt-1 Lunas",IF(AP163=(H163*12),"SY2627 Lunas",AP163/AR163)))</f>
        <v>0.66666666666666663</v>
      </c>
    </row>
    <row r="164" spans="2:45" ht="15" customHeight="1" x14ac:dyDescent="0.2">
      <c r="B164" s="13">
        <v>63</v>
      </c>
      <c r="C164" s="13" t="s">
        <v>74</v>
      </c>
      <c r="D164" s="13" t="s">
        <v>257</v>
      </c>
      <c r="E164" s="14">
        <v>34140182</v>
      </c>
      <c r="F164" s="15">
        <v>68605745588</v>
      </c>
      <c r="G164" s="15">
        <v>816745588</v>
      </c>
      <c r="H164" s="16">
        <v>1000000</v>
      </c>
      <c r="I164" s="16" t="s">
        <v>223</v>
      </c>
      <c r="J164" s="16">
        <v>2</v>
      </c>
      <c r="K164" s="16">
        <v>0</v>
      </c>
      <c r="L164" s="13" t="s">
        <v>224</v>
      </c>
      <c r="M164" s="17">
        <v>46204</v>
      </c>
      <c r="N164" s="16"/>
      <c r="O164" s="16"/>
      <c r="P164" s="16">
        <v>0</v>
      </c>
      <c r="Q164" s="16">
        <v>0</v>
      </c>
      <c r="R164" s="16">
        <v>1000000</v>
      </c>
      <c r="S164" s="16">
        <v>1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8">
        <v>1000000</v>
      </c>
      <c r="AO164" s="18">
        <v>1</v>
      </c>
      <c r="AP164" s="18">
        <f>ROUNDDOWN(AN164,-3)</f>
        <v>1000000</v>
      </c>
      <c r="AQ164" s="18">
        <f ca="1">DATEDIF(M164,AS$1, "m")+1</f>
        <v>3</v>
      </c>
      <c r="AR164" s="18">
        <f ca="1">+H164*AQ164</f>
        <v>3000000</v>
      </c>
      <c r="AS164" s="19">
        <f ca="1">IF(H164=0,0,IF(AP164=(H164*6),"Smt-1 Lunas",IF(AP164=(H164*12),"SY2627 Lunas",AP164/AR164)))</f>
        <v>0.33333333333333331</v>
      </c>
    </row>
    <row r="165" spans="2:45" ht="15" customHeight="1" x14ac:dyDescent="0.2">
      <c r="B165" s="13">
        <v>116</v>
      </c>
      <c r="C165" s="13" t="s">
        <v>111</v>
      </c>
      <c r="D165" s="13" t="s">
        <v>111</v>
      </c>
      <c r="E165" s="14">
        <v>34140388</v>
      </c>
      <c r="F165" s="15">
        <v>68605998806</v>
      </c>
      <c r="G165" s="15">
        <v>8170999890</v>
      </c>
      <c r="H165" s="16">
        <v>500000</v>
      </c>
      <c r="I165" s="16" t="s">
        <v>223</v>
      </c>
      <c r="J165" s="16">
        <v>1</v>
      </c>
      <c r="K165" s="16">
        <v>0</v>
      </c>
      <c r="L165" s="13" t="s">
        <v>224</v>
      </c>
      <c r="M165" s="17">
        <v>46235</v>
      </c>
      <c r="N165" s="16"/>
      <c r="O165" s="16"/>
      <c r="P165" s="16">
        <v>0</v>
      </c>
      <c r="Q165" s="16">
        <v>0</v>
      </c>
      <c r="R165" s="16">
        <v>500000</v>
      </c>
      <c r="S165" s="16">
        <v>1</v>
      </c>
      <c r="T165" s="16">
        <v>500000</v>
      </c>
      <c r="U165" s="16">
        <v>1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8">
        <v>1000000</v>
      </c>
      <c r="AO165" s="18">
        <v>2</v>
      </c>
      <c r="AP165" s="18">
        <f>ROUNDDOWN(AN165,-3)</f>
        <v>1000000</v>
      </c>
      <c r="AQ165" s="18">
        <f ca="1">DATEDIF(M165,AS$1, "m")+1</f>
        <v>2</v>
      </c>
      <c r="AR165" s="18">
        <f ca="1">+H165*AQ165</f>
        <v>1000000</v>
      </c>
      <c r="AS165" s="19">
        <f ca="1">IF(H165=0,0,IF(AP165=(H165*6),"Smt-1 Lunas",IF(AP165=(H165*12),"SY2627 Lunas",AP165/AR165)))</f>
        <v>1</v>
      </c>
    </row>
    <row r="166" spans="2:45" ht="15" customHeight="1" x14ac:dyDescent="0.2">
      <c r="B166" s="13">
        <v>48</v>
      </c>
      <c r="C166" s="13" t="s">
        <v>61</v>
      </c>
      <c r="D166" s="13" t="s">
        <v>247</v>
      </c>
      <c r="E166" s="14">
        <v>34140142</v>
      </c>
      <c r="F166" s="15">
        <v>68605270077</v>
      </c>
      <c r="G166" s="15">
        <v>87880270077</v>
      </c>
      <c r="H166" s="16">
        <v>250000</v>
      </c>
      <c r="I166" s="16" t="s">
        <v>223</v>
      </c>
      <c r="J166" s="16">
        <v>0</v>
      </c>
      <c r="K166" s="16">
        <v>1</v>
      </c>
      <c r="L166" s="13" t="s">
        <v>224</v>
      </c>
      <c r="M166" s="17">
        <v>46204</v>
      </c>
      <c r="N166" s="16"/>
      <c r="O166" s="16"/>
      <c r="P166" s="16">
        <v>250142</v>
      </c>
      <c r="Q166" s="16">
        <v>1</v>
      </c>
      <c r="R166" s="16">
        <v>250142</v>
      </c>
      <c r="S166" s="16">
        <v>1</v>
      </c>
      <c r="T166" s="16">
        <v>250142</v>
      </c>
      <c r="U166" s="16">
        <v>1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8">
        <v>750426</v>
      </c>
      <c r="AO166" s="18">
        <v>3</v>
      </c>
      <c r="AP166" s="18">
        <f>ROUNDDOWN(AN166,-3)</f>
        <v>750000</v>
      </c>
      <c r="AQ166" s="18">
        <f ca="1">DATEDIF(M166,AS$1, "m")+1</f>
        <v>3</v>
      </c>
      <c r="AR166" s="18">
        <f ca="1">+H166*AQ166</f>
        <v>750000</v>
      </c>
      <c r="AS166" s="19">
        <f ca="1">IF(H166=0,0,IF(AP166=(H166*6),"Smt-1 Lunas",IF(AP166=(H166*12),"SY2627 Lunas",AP166/AR166)))</f>
        <v>1</v>
      </c>
    </row>
    <row r="167" spans="2:45" ht="15" customHeight="1" x14ac:dyDescent="0.2">
      <c r="B167" s="13">
        <v>30</v>
      </c>
      <c r="C167" s="13" t="s">
        <v>50</v>
      </c>
      <c r="D167" s="13" t="s">
        <v>240</v>
      </c>
      <c r="E167" s="14">
        <v>34140094</v>
      </c>
      <c r="F167" s="15">
        <v>68605134295</v>
      </c>
      <c r="G167" s="15">
        <v>81313134295</v>
      </c>
      <c r="H167" s="16">
        <v>250000</v>
      </c>
      <c r="I167" s="16" t="s">
        <v>241</v>
      </c>
      <c r="J167" s="16">
        <v>0</v>
      </c>
      <c r="K167" s="16">
        <v>1</v>
      </c>
      <c r="L167" s="13" t="s">
        <v>224</v>
      </c>
      <c r="M167" s="17">
        <v>46204</v>
      </c>
      <c r="N167" s="16"/>
      <c r="O167" s="16"/>
      <c r="P167" s="16">
        <v>750000</v>
      </c>
      <c r="Q167" s="16">
        <v>1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8">
        <v>750000</v>
      </c>
      <c r="AO167" s="18">
        <v>1</v>
      </c>
      <c r="AP167" s="18">
        <f>ROUNDDOWN(AN167,-3)</f>
        <v>750000</v>
      </c>
      <c r="AQ167" s="18">
        <f ca="1">DATEDIF(M167,AS$1, "m")+1</f>
        <v>3</v>
      </c>
      <c r="AR167" s="18">
        <f ca="1">+H167*AQ167</f>
        <v>750000</v>
      </c>
      <c r="AS167" s="19">
        <f ca="1">IF(H167=0,0,IF(AP167=(H167*6),"Smt-1 Lunas",IF(AP167=(H167*12),"SY2627 Lunas",AP167/AR167)))</f>
        <v>1</v>
      </c>
    </row>
    <row r="168" spans="2:45" ht="15" customHeight="1" x14ac:dyDescent="0.2">
      <c r="B168" s="13">
        <v>38</v>
      </c>
      <c r="C168" s="13" t="s">
        <v>54</v>
      </c>
      <c r="D168" s="13" t="s">
        <v>54</v>
      </c>
      <c r="E168" s="14">
        <v>34140120</v>
      </c>
      <c r="F168" s="15">
        <v>68605915403</v>
      </c>
      <c r="G168" s="15">
        <v>816915403</v>
      </c>
      <c r="H168" s="16">
        <v>250000</v>
      </c>
      <c r="I168" s="16" t="s">
        <v>223</v>
      </c>
      <c r="J168" s="16">
        <v>0</v>
      </c>
      <c r="K168" s="16">
        <v>1</v>
      </c>
      <c r="L168" s="13" t="s">
        <v>224</v>
      </c>
      <c r="M168" s="17">
        <v>46204</v>
      </c>
      <c r="N168" s="16"/>
      <c r="O168" s="16"/>
      <c r="P168" s="16">
        <v>250000</v>
      </c>
      <c r="Q168" s="16">
        <v>1</v>
      </c>
      <c r="R168" s="16">
        <v>250000</v>
      </c>
      <c r="S168" s="16">
        <v>1</v>
      </c>
      <c r="T168" s="16">
        <v>250000</v>
      </c>
      <c r="U168" s="16">
        <v>1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8">
        <v>750000</v>
      </c>
      <c r="AO168" s="18">
        <v>3</v>
      </c>
      <c r="AP168" s="18">
        <f>ROUNDDOWN(AN168,-3)</f>
        <v>750000</v>
      </c>
      <c r="AQ168" s="18">
        <f ca="1">DATEDIF(M168,AS$1, "m")+1</f>
        <v>3</v>
      </c>
      <c r="AR168" s="18">
        <f ca="1">+H168*AQ168</f>
        <v>750000</v>
      </c>
      <c r="AS168" s="19">
        <f ca="1">IF(H168=0,0,IF(AP168=(H168*6),"Smt-1 Lunas",IF(AP168=(H168*12),"SY2627 Lunas",AP168/AR168)))</f>
        <v>1</v>
      </c>
    </row>
    <row r="169" spans="2:45" ht="15" customHeight="1" x14ac:dyDescent="0.2">
      <c r="B169" s="13">
        <v>78</v>
      </c>
      <c r="C169" s="13" t="s">
        <v>87</v>
      </c>
      <c r="D169" s="13" t="s">
        <v>87</v>
      </c>
      <c r="E169" s="14">
        <v>34140210</v>
      </c>
      <c r="F169" s="15">
        <v>68605605239</v>
      </c>
      <c r="G169" s="15">
        <v>8161605239</v>
      </c>
      <c r="H169" s="16">
        <v>250000</v>
      </c>
      <c r="I169" s="16" t="s">
        <v>223</v>
      </c>
      <c r="J169" s="16">
        <v>0</v>
      </c>
      <c r="K169" s="16">
        <v>1</v>
      </c>
      <c r="L169" s="13" t="s">
        <v>224</v>
      </c>
      <c r="M169" s="17">
        <v>46204</v>
      </c>
      <c r="N169" s="16"/>
      <c r="O169" s="16"/>
      <c r="P169" s="16">
        <v>250000</v>
      </c>
      <c r="Q169" s="16">
        <v>1</v>
      </c>
      <c r="R169" s="16">
        <v>250000</v>
      </c>
      <c r="S169" s="16">
        <v>1</v>
      </c>
      <c r="T169" s="16">
        <v>250000</v>
      </c>
      <c r="U169" s="16">
        <v>1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8">
        <v>750000</v>
      </c>
      <c r="AO169" s="18">
        <v>3</v>
      </c>
      <c r="AP169" s="18">
        <f>ROUNDDOWN(AN169,-3)</f>
        <v>750000</v>
      </c>
      <c r="AQ169" s="18">
        <f ca="1">DATEDIF(M169,AS$1, "m")+1</f>
        <v>3</v>
      </c>
      <c r="AR169" s="18">
        <f ca="1">+H169*AQ169</f>
        <v>750000</v>
      </c>
      <c r="AS169" s="19">
        <f ca="1">IF(H169=0,0,IF(AP169=(H169*6),"Smt-1 Lunas",IF(AP169=(H169*12),"SY2627 Lunas",AP169/AR169)))</f>
        <v>1</v>
      </c>
    </row>
    <row r="170" spans="2:45" ht="15" customHeight="1" x14ac:dyDescent="0.2">
      <c r="B170" s="13">
        <v>89</v>
      </c>
      <c r="C170" s="13" t="s">
        <v>96</v>
      </c>
      <c r="D170" s="13" t="s">
        <v>274</v>
      </c>
      <c r="E170" s="14">
        <v>34140257</v>
      </c>
      <c r="F170" s="15">
        <v>68605636575</v>
      </c>
      <c r="G170" s="15">
        <v>81211636575</v>
      </c>
      <c r="H170" s="16">
        <v>250000</v>
      </c>
      <c r="I170" s="16" t="s">
        <v>223</v>
      </c>
      <c r="J170" s="16">
        <v>0</v>
      </c>
      <c r="K170" s="16">
        <v>1</v>
      </c>
      <c r="L170" s="13" t="s">
        <v>224</v>
      </c>
      <c r="M170" s="17">
        <v>46204</v>
      </c>
      <c r="N170" s="16"/>
      <c r="O170" s="16"/>
      <c r="P170" s="16">
        <v>0</v>
      </c>
      <c r="Q170" s="16">
        <v>0</v>
      </c>
      <c r="R170" s="16">
        <v>500000</v>
      </c>
      <c r="S170" s="16">
        <v>1</v>
      </c>
      <c r="T170" s="16">
        <v>250000</v>
      </c>
      <c r="U170" s="16">
        <v>1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8">
        <v>750000</v>
      </c>
      <c r="AO170" s="18">
        <v>2</v>
      </c>
      <c r="AP170" s="18">
        <f>ROUNDDOWN(AN170,-3)</f>
        <v>750000</v>
      </c>
      <c r="AQ170" s="18">
        <f ca="1">DATEDIF(M170,AS$1, "m")+1</f>
        <v>3</v>
      </c>
      <c r="AR170" s="18">
        <f ca="1">+H170*AQ170</f>
        <v>750000</v>
      </c>
      <c r="AS170" s="19">
        <f ca="1">IF(H170=0,0,IF(AP170=(H170*6),"Smt-1 Lunas",IF(AP170=(H170*12),"SY2627 Lunas",AP170/AR170)))</f>
        <v>1</v>
      </c>
    </row>
    <row r="171" spans="2:45" ht="15" customHeight="1" x14ac:dyDescent="0.2">
      <c r="B171" s="13">
        <v>176</v>
      </c>
      <c r="C171" s="13" t="s">
        <v>156</v>
      </c>
      <c r="D171" s="13" t="s">
        <v>156</v>
      </c>
      <c r="E171" s="14">
        <v>34140450</v>
      </c>
      <c r="F171" s="15">
        <v>68605256294</v>
      </c>
      <c r="G171" s="15">
        <v>81514256294</v>
      </c>
      <c r="H171" s="16">
        <v>250000</v>
      </c>
      <c r="I171" s="16" t="s">
        <v>223</v>
      </c>
      <c r="J171" s="16">
        <v>0</v>
      </c>
      <c r="K171" s="16">
        <v>1</v>
      </c>
      <c r="L171" s="13" t="s">
        <v>224</v>
      </c>
      <c r="M171" s="17">
        <v>46204</v>
      </c>
      <c r="N171" s="16">
        <v>0</v>
      </c>
      <c r="O171" s="16">
        <v>0</v>
      </c>
      <c r="P171" s="16">
        <v>500000</v>
      </c>
      <c r="Q171" s="16">
        <v>2</v>
      </c>
      <c r="R171" s="16">
        <v>0</v>
      </c>
      <c r="S171" s="16">
        <v>0</v>
      </c>
      <c r="T171" s="16">
        <v>250000</v>
      </c>
      <c r="U171" s="16">
        <v>1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8">
        <v>750000</v>
      </c>
      <c r="AO171" s="18">
        <v>3</v>
      </c>
      <c r="AP171" s="18">
        <f>ROUNDDOWN(AN171,-3)</f>
        <v>750000</v>
      </c>
      <c r="AQ171" s="18">
        <f ca="1">DATEDIF(M171,AS$1, "m")+1</f>
        <v>3</v>
      </c>
      <c r="AR171" s="18">
        <f ca="1">+H171*AQ171</f>
        <v>750000</v>
      </c>
      <c r="AS171" s="19">
        <f ca="1">IF(H171=0,0,IF(AP171=(H171*6),"Smt-1 Lunas",IF(AP171=(H171*12),"SY2627 Lunas",AP171/AR171)))</f>
        <v>1</v>
      </c>
    </row>
    <row r="172" spans="2:45" ht="15" customHeight="1" x14ac:dyDescent="0.2">
      <c r="B172" s="13">
        <v>93</v>
      </c>
      <c r="C172" s="13" t="s">
        <v>99</v>
      </c>
      <c r="D172" s="13" t="s">
        <v>99</v>
      </c>
      <c r="E172" s="14">
        <v>34140263</v>
      </c>
      <c r="F172" s="15">
        <v>68605692627</v>
      </c>
      <c r="G172" s="15">
        <v>8161692627</v>
      </c>
      <c r="H172" s="16">
        <v>500000</v>
      </c>
      <c r="I172" s="16" t="s">
        <v>223</v>
      </c>
      <c r="J172" s="16">
        <v>0</v>
      </c>
      <c r="K172" s="16">
        <v>2</v>
      </c>
      <c r="L172" s="13" t="s">
        <v>224</v>
      </c>
      <c r="M172" s="17">
        <v>46204</v>
      </c>
      <c r="N172" s="16"/>
      <c r="O172" s="16"/>
      <c r="P172" s="16">
        <v>502026</v>
      </c>
      <c r="Q172" s="16">
        <v>1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8">
        <v>502026</v>
      </c>
      <c r="AO172" s="18">
        <v>1</v>
      </c>
      <c r="AP172" s="18">
        <f>ROUNDDOWN(AN172,-3)</f>
        <v>502000</v>
      </c>
      <c r="AQ172" s="18">
        <f ca="1">DATEDIF(M172,AS$1, "m")+1</f>
        <v>3</v>
      </c>
      <c r="AR172" s="18">
        <f ca="1">+H172*AQ172</f>
        <v>1500000</v>
      </c>
      <c r="AS172" s="19">
        <f ca="1">IF(H172=0,0,IF(AP172=(H172*6),"Smt-1 Lunas",IF(AP172=(H172*12),"SY2627 Lunas",AP172/AR172)))</f>
        <v>0.33466666666666667</v>
      </c>
    </row>
    <row r="173" spans="2:45" ht="15" customHeight="1" x14ac:dyDescent="0.2">
      <c r="B173" s="13">
        <v>7</v>
      </c>
      <c r="C173" s="13" t="s">
        <v>36</v>
      </c>
      <c r="D173" s="13" t="s">
        <v>36</v>
      </c>
      <c r="E173" s="14">
        <v>34140025</v>
      </c>
      <c r="F173" s="15">
        <v>68605355032</v>
      </c>
      <c r="G173" s="15">
        <v>8122355032</v>
      </c>
      <c r="H173" s="16">
        <v>500000</v>
      </c>
      <c r="I173" s="16" t="s">
        <v>223</v>
      </c>
      <c r="J173" s="16">
        <v>0</v>
      </c>
      <c r="K173" s="16">
        <v>2</v>
      </c>
      <c r="L173" s="13" t="s">
        <v>224</v>
      </c>
      <c r="M173" s="17">
        <v>46204</v>
      </c>
      <c r="N173" s="16"/>
      <c r="O173" s="16"/>
      <c r="P173" s="16">
        <v>0</v>
      </c>
      <c r="Q173" s="16">
        <v>0</v>
      </c>
      <c r="R173" s="16">
        <v>500000</v>
      </c>
      <c r="S173" s="16">
        <v>1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8">
        <v>500000</v>
      </c>
      <c r="AO173" s="18">
        <v>1</v>
      </c>
      <c r="AP173" s="18">
        <f>ROUNDDOWN(AN173,-3)</f>
        <v>500000</v>
      </c>
      <c r="AQ173" s="18">
        <f ca="1">DATEDIF(M173,AS$1, "m")+1</f>
        <v>3</v>
      </c>
      <c r="AR173" s="18">
        <f ca="1">+H173*AQ173</f>
        <v>1500000</v>
      </c>
      <c r="AS173" s="19">
        <f ca="1">IF(H173=0,0,IF(AP173=(H173*6),"Smt-1 Lunas",IF(AP173=(H173*12),"SY2627 Lunas",AP173/AR173)))</f>
        <v>0.33333333333333331</v>
      </c>
    </row>
    <row r="174" spans="2:45" ht="15" customHeight="1" x14ac:dyDescent="0.2">
      <c r="B174" s="13">
        <v>11</v>
      </c>
      <c r="C174" s="13" t="s">
        <v>39</v>
      </c>
      <c r="D174" s="13" t="s">
        <v>228</v>
      </c>
      <c r="E174" s="14">
        <v>34140037</v>
      </c>
      <c r="F174" s="15">
        <v>68605002135</v>
      </c>
      <c r="G174" s="15">
        <v>8112002135</v>
      </c>
      <c r="H174" s="16">
        <v>250000</v>
      </c>
      <c r="I174" s="16" t="s">
        <v>223</v>
      </c>
      <c r="J174" s="16">
        <v>0</v>
      </c>
      <c r="K174" s="16">
        <v>1</v>
      </c>
      <c r="L174" s="13" t="s">
        <v>224</v>
      </c>
      <c r="M174" s="17">
        <v>46204</v>
      </c>
      <c r="N174" s="16"/>
      <c r="O174" s="16"/>
      <c r="P174" s="16">
        <v>250000</v>
      </c>
      <c r="Q174" s="16">
        <v>1</v>
      </c>
      <c r="R174" s="16">
        <v>250000</v>
      </c>
      <c r="S174" s="16">
        <v>1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8">
        <v>500000</v>
      </c>
      <c r="AO174" s="18">
        <v>2</v>
      </c>
      <c r="AP174" s="18">
        <f>ROUNDDOWN(AN174,-3)</f>
        <v>500000</v>
      </c>
      <c r="AQ174" s="18">
        <f ca="1">DATEDIF(M174,AS$1, "m")+1</f>
        <v>3</v>
      </c>
      <c r="AR174" s="18">
        <f ca="1">+H174*AQ174</f>
        <v>750000</v>
      </c>
      <c r="AS174" s="19">
        <f ca="1">IF(H174=0,0,IF(AP174=(H174*6),"Smt-1 Lunas",IF(AP174=(H174*12),"SY2627 Lunas",AP174/AR174)))</f>
        <v>0.66666666666666663</v>
      </c>
    </row>
    <row r="175" spans="2:45" ht="15" customHeight="1" x14ac:dyDescent="0.2">
      <c r="B175" s="13">
        <v>73</v>
      </c>
      <c r="C175" s="13" t="s">
        <v>83</v>
      </c>
      <c r="D175" s="13" t="s">
        <v>83</v>
      </c>
      <c r="E175" s="14">
        <v>34140198</v>
      </c>
      <c r="F175" s="15">
        <v>68605049921</v>
      </c>
      <c r="G175" s="15">
        <v>8129049921</v>
      </c>
      <c r="H175" s="16">
        <v>500000</v>
      </c>
      <c r="I175" s="16" t="s">
        <v>223</v>
      </c>
      <c r="J175" s="16">
        <v>1</v>
      </c>
      <c r="K175" s="16">
        <v>0</v>
      </c>
      <c r="L175" s="13" t="s">
        <v>224</v>
      </c>
      <c r="M175" s="17">
        <v>46204</v>
      </c>
      <c r="N175" s="16"/>
      <c r="O175" s="16"/>
      <c r="P175" s="16">
        <v>500000</v>
      </c>
      <c r="Q175" s="16">
        <v>1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8">
        <v>500000</v>
      </c>
      <c r="AO175" s="18">
        <v>1</v>
      </c>
      <c r="AP175" s="18">
        <f>ROUNDDOWN(AN175,-3)</f>
        <v>500000</v>
      </c>
      <c r="AQ175" s="18">
        <f ca="1">DATEDIF(M175,AS$1, "m")+1</f>
        <v>3</v>
      </c>
      <c r="AR175" s="18">
        <f ca="1">+H175*AQ175</f>
        <v>1500000</v>
      </c>
      <c r="AS175" s="19">
        <f ca="1">IF(H175=0,0,IF(AP175=(H175*6),"Smt-1 Lunas",IF(AP175=(H175*12),"SY2627 Lunas",AP175/AR175)))</f>
        <v>0.33333333333333331</v>
      </c>
    </row>
    <row r="176" spans="2:45" ht="15" customHeight="1" x14ac:dyDescent="0.2">
      <c r="B176" s="13">
        <v>160</v>
      </c>
      <c r="C176" s="13" t="s">
        <v>140</v>
      </c>
      <c r="D176" s="13" t="s">
        <v>140</v>
      </c>
      <c r="E176" s="14">
        <v>34140434</v>
      </c>
      <c r="F176" s="15">
        <v>68605002724</v>
      </c>
      <c r="G176" s="15">
        <v>81113002724</v>
      </c>
      <c r="H176" s="16">
        <v>250000</v>
      </c>
      <c r="I176" s="16" t="s">
        <v>223</v>
      </c>
      <c r="J176" s="16">
        <v>0</v>
      </c>
      <c r="K176" s="16">
        <v>1</v>
      </c>
      <c r="L176" s="13" t="s">
        <v>224</v>
      </c>
      <c r="M176" s="17">
        <v>46174</v>
      </c>
      <c r="N176" s="16">
        <v>250000</v>
      </c>
      <c r="O176" s="16">
        <v>1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8">
        <v>250000</v>
      </c>
      <c r="AO176" s="18">
        <v>1</v>
      </c>
      <c r="AP176" s="18">
        <f>ROUNDDOWN(AN176,-3)</f>
        <v>250000</v>
      </c>
      <c r="AQ176" s="18">
        <f ca="1">DATEDIF(M176,AS$1, "m")+1</f>
        <v>4</v>
      </c>
      <c r="AR176" s="18">
        <f ca="1">+H176*AQ176</f>
        <v>1000000</v>
      </c>
      <c r="AS176" s="19">
        <f ca="1">IF(H176=0,0,IF(AP176=(H176*6),"Smt-1 Lunas",IF(AP176=(H176*12),"SY2627 Lunas",AP176/AR176)))</f>
        <v>0.25</v>
      </c>
    </row>
    <row r="177" spans="1:46" ht="15" customHeight="1" x14ac:dyDescent="0.2">
      <c r="B177" s="13">
        <v>179</v>
      </c>
      <c r="C177" s="13" t="s">
        <v>159</v>
      </c>
      <c r="D177" s="13" t="s">
        <v>159</v>
      </c>
      <c r="E177" s="14">
        <v>34140453</v>
      </c>
      <c r="F177" s="15">
        <v>68605983036</v>
      </c>
      <c r="G177" s="15">
        <v>818983036</v>
      </c>
      <c r="H177" s="16">
        <v>250000</v>
      </c>
      <c r="I177" s="16" t="s">
        <v>223</v>
      </c>
      <c r="J177" s="16">
        <v>0</v>
      </c>
      <c r="K177" s="16">
        <v>1</v>
      </c>
      <c r="L177" s="13" t="s">
        <v>224</v>
      </c>
      <c r="M177" s="17">
        <v>46235</v>
      </c>
      <c r="N177" s="16">
        <v>0</v>
      </c>
      <c r="O177" s="16">
        <v>0</v>
      </c>
      <c r="P177" s="16">
        <v>0</v>
      </c>
      <c r="Q177" s="16">
        <v>0</v>
      </c>
      <c r="R177" s="16">
        <v>250000</v>
      </c>
      <c r="S177" s="16">
        <v>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8">
        <v>250000</v>
      </c>
      <c r="AO177" s="18">
        <v>1</v>
      </c>
      <c r="AP177" s="18">
        <f>ROUNDDOWN(AN177,-3)</f>
        <v>250000</v>
      </c>
      <c r="AQ177" s="18">
        <f ca="1">DATEDIF(M177,AS$1, "m")+1</f>
        <v>2</v>
      </c>
      <c r="AR177" s="18">
        <f ca="1">+H177*AQ177</f>
        <v>500000</v>
      </c>
      <c r="AS177" s="19">
        <f ca="1">IF(H177=0,0,IF(AP177=(H177*6),"Smt-1 Lunas",IF(AP177=(H177*12),"SY2627 Lunas",AP177/AR177)))</f>
        <v>0.5</v>
      </c>
    </row>
    <row r="178" spans="1:46" ht="15" customHeight="1" x14ac:dyDescent="0.2">
      <c r="A178" s="10"/>
      <c r="B178" s="13">
        <v>5</v>
      </c>
      <c r="C178" s="13" t="s">
        <v>209</v>
      </c>
      <c r="D178" s="13" t="s">
        <v>209</v>
      </c>
      <c r="E178" s="14">
        <v>34140019</v>
      </c>
      <c r="F178" s="15">
        <v>68605816435</v>
      </c>
      <c r="G178" s="15">
        <v>818816435</v>
      </c>
      <c r="H178" s="16">
        <v>0</v>
      </c>
      <c r="I178" s="16">
        <v>0</v>
      </c>
      <c r="J178" s="16">
        <v>0</v>
      </c>
      <c r="K178" s="16">
        <v>0</v>
      </c>
      <c r="L178" s="13" t="s">
        <v>224</v>
      </c>
      <c r="M178" s="17">
        <v>0</v>
      </c>
      <c r="N178" s="16"/>
      <c r="O178" s="16"/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8">
        <v>0</v>
      </c>
      <c r="AO178" s="18">
        <v>0</v>
      </c>
      <c r="AP178" s="18">
        <f>ROUNDDOWN(AN178,-3)</f>
        <v>0</v>
      </c>
      <c r="AQ178" s="18"/>
      <c r="AR178" s="18">
        <f>+H178*AQ178</f>
        <v>0</v>
      </c>
      <c r="AS178" s="19">
        <f>IF(H178=0,0,IF(AP178=(H178*6),"Smt-1 Lunas",IF(AP178=(H178*12),"SY2627 Lunas",AP178/AR178)))</f>
        <v>0</v>
      </c>
    </row>
    <row r="179" spans="1:46" ht="15" customHeight="1" x14ac:dyDescent="0.2">
      <c r="A179" s="10"/>
      <c r="B179" s="13">
        <v>50</v>
      </c>
      <c r="C179" s="13" t="s">
        <v>63</v>
      </c>
      <c r="D179" s="13" t="s">
        <v>249</v>
      </c>
      <c r="E179" s="14">
        <v>34140145</v>
      </c>
      <c r="F179" s="15">
        <v>68605737888</v>
      </c>
      <c r="G179" s="15">
        <v>81318737888</v>
      </c>
      <c r="H179" s="16">
        <v>250000</v>
      </c>
      <c r="I179" s="16" t="s">
        <v>230</v>
      </c>
      <c r="J179" s="16">
        <v>0</v>
      </c>
      <c r="K179" s="16">
        <v>1</v>
      </c>
      <c r="L179" s="13" t="s">
        <v>224</v>
      </c>
      <c r="M179" s="17">
        <v>46235</v>
      </c>
      <c r="N179" s="16"/>
      <c r="O179" s="16"/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8">
        <v>0</v>
      </c>
      <c r="AO179" s="18">
        <v>0</v>
      </c>
      <c r="AP179" s="18">
        <f>ROUNDDOWN(AN179,-3)</f>
        <v>0</v>
      </c>
      <c r="AQ179" s="18">
        <f ca="1">DATEDIF(M179,AS$1, "m")+1</f>
        <v>2</v>
      </c>
      <c r="AR179" s="18">
        <f ca="1">+H179*AQ179</f>
        <v>500000</v>
      </c>
      <c r="AS179" s="19">
        <f ca="1">IF(H179=0,0,IF(AP179=(H179*6),"Smt-1 Lunas",IF(AP179=(H179*12),"SY2627 Lunas",AP179/AR179)))</f>
        <v>0</v>
      </c>
    </row>
    <row r="180" spans="1:46" ht="15" customHeight="1" x14ac:dyDescent="0.2">
      <c r="A180" s="10"/>
      <c r="B180" s="13">
        <v>77</v>
      </c>
      <c r="C180" s="13" t="s">
        <v>86</v>
      </c>
      <c r="D180" s="13" t="s">
        <v>86</v>
      </c>
      <c r="E180" s="14">
        <v>34140209</v>
      </c>
      <c r="F180" s="15">
        <v>68605888068</v>
      </c>
      <c r="G180" s="15">
        <v>8174888068</v>
      </c>
      <c r="H180" s="16">
        <v>500000</v>
      </c>
      <c r="I180" s="16" t="s">
        <v>267</v>
      </c>
      <c r="J180" s="16">
        <v>1</v>
      </c>
      <c r="K180" s="16">
        <v>0</v>
      </c>
      <c r="L180" s="13" t="s">
        <v>224</v>
      </c>
      <c r="M180" s="17">
        <v>46204</v>
      </c>
      <c r="N180" s="16"/>
      <c r="O180" s="16"/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8">
        <v>0</v>
      </c>
      <c r="AO180" s="18">
        <v>0</v>
      </c>
      <c r="AP180" s="18">
        <f>ROUNDDOWN(AN180,-3)</f>
        <v>0</v>
      </c>
      <c r="AQ180" s="18">
        <f ca="1">DATEDIF(M180,AS$1, "m")+1</f>
        <v>3</v>
      </c>
      <c r="AR180" s="18">
        <f ca="1">+H180*AQ180</f>
        <v>1500000</v>
      </c>
      <c r="AS180" s="19">
        <f ca="1">IF(H180=0,0,IF(AP180=(H180*6),"Smt-1 Lunas",IF(AP180=(H180*12),"SY2627 Lunas",AP180/AR180)))</f>
        <v>0</v>
      </c>
    </row>
    <row r="181" spans="1:46" ht="15" customHeight="1" x14ac:dyDescent="0.2">
      <c r="A181" s="10"/>
      <c r="B181" s="13">
        <v>79</v>
      </c>
      <c r="C181" s="13" t="s">
        <v>211</v>
      </c>
      <c r="D181" s="13" t="s">
        <v>211</v>
      </c>
      <c r="E181" s="14">
        <v>34140241</v>
      </c>
      <c r="F181" s="15">
        <v>68605630970</v>
      </c>
      <c r="G181" s="15">
        <v>8176630970</v>
      </c>
      <c r="H181" s="16">
        <v>0</v>
      </c>
      <c r="I181" s="16">
        <v>0</v>
      </c>
      <c r="J181" s="16">
        <v>0</v>
      </c>
      <c r="K181" s="16">
        <v>0</v>
      </c>
      <c r="L181" s="13" t="s">
        <v>224</v>
      </c>
      <c r="M181" s="17">
        <v>0</v>
      </c>
      <c r="N181" s="16"/>
      <c r="O181" s="16"/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8">
        <v>0</v>
      </c>
      <c r="AO181" s="18">
        <v>0</v>
      </c>
      <c r="AP181" s="18">
        <f>ROUNDDOWN(AN181,-3)</f>
        <v>0</v>
      </c>
      <c r="AQ181" s="18"/>
      <c r="AR181" s="18">
        <f>+H181*AQ181</f>
        <v>0</v>
      </c>
      <c r="AS181" s="19">
        <f>IF(H181=0,0,IF(AP181=(H181*6),"Smt-1 Lunas",IF(AP181=(H181*12),"SY2627 Lunas",AP181/AR181)))</f>
        <v>0</v>
      </c>
    </row>
    <row r="182" spans="1:46" ht="15" customHeight="1" x14ac:dyDescent="0.2">
      <c r="A182" s="10"/>
      <c r="B182" s="13">
        <v>83</v>
      </c>
      <c r="C182" s="13" t="s">
        <v>91</v>
      </c>
      <c r="D182" s="13" t="s">
        <v>270</v>
      </c>
      <c r="E182" s="14">
        <v>34140248</v>
      </c>
      <c r="F182" s="15">
        <v>68605250500</v>
      </c>
      <c r="G182" s="15">
        <v>8986250500</v>
      </c>
      <c r="H182" s="16">
        <v>1000000</v>
      </c>
      <c r="I182" s="16" t="s">
        <v>241</v>
      </c>
      <c r="J182" s="16">
        <v>2</v>
      </c>
      <c r="K182" s="16">
        <v>0</v>
      </c>
      <c r="L182" s="13" t="s">
        <v>224</v>
      </c>
      <c r="M182" s="17">
        <v>46266</v>
      </c>
      <c r="N182" s="16"/>
      <c r="O182" s="16"/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8">
        <v>0</v>
      </c>
      <c r="AO182" s="18">
        <v>0</v>
      </c>
      <c r="AP182" s="18">
        <f>ROUNDDOWN(AN182,-3)</f>
        <v>0</v>
      </c>
      <c r="AQ182" s="18">
        <f ca="1">DATEDIF(M182,AS$1, "m")+1</f>
        <v>1</v>
      </c>
      <c r="AR182" s="18">
        <f ca="1">+H182*AQ182</f>
        <v>1000000</v>
      </c>
      <c r="AS182" s="19">
        <f ca="1">IF(H182=0,0,IF(AP182=(H182*6),"Smt-1 Lunas",IF(AP182=(H182*12),"SY2627 Lunas",AP182/AR182)))</f>
        <v>0</v>
      </c>
    </row>
    <row r="183" spans="1:46" ht="15" customHeight="1" x14ac:dyDescent="0.2">
      <c r="A183" s="10"/>
      <c r="B183" s="13">
        <v>86</v>
      </c>
      <c r="C183" s="13" t="s">
        <v>212</v>
      </c>
      <c r="D183" s="13" t="s">
        <v>212</v>
      </c>
      <c r="E183" s="14">
        <v>34140253</v>
      </c>
      <c r="F183" s="15">
        <v>68605954199</v>
      </c>
      <c r="G183" s="15">
        <v>8128954199</v>
      </c>
      <c r="H183" s="16">
        <v>0</v>
      </c>
      <c r="I183" s="16">
        <v>0</v>
      </c>
      <c r="J183" s="16">
        <v>0</v>
      </c>
      <c r="K183" s="16">
        <v>0</v>
      </c>
      <c r="L183" s="13" t="s">
        <v>224</v>
      </c>
      <c r="M183" s="17">
        <v>0</v>
      </c>
      <c r="N183" s="16"/>
      <c r="O183" s="16"/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8"/>
      <c r="AO183" s="18"/>
      <c r="AP183" s="18"/>
      <c r="AQ183" s="18"/>
      <c r="AR183" s="18"/>
      <c r="AS183" s="19"/>
    </row>
    <row r="184" spans="1:46" x14ac:dyDescent="0.2">
      <c r="H184" s="20">
        <f>SUM(H4:H183)</f>
        <v>78250000</v>
      </c>
      <c r="N184" s="2">
        <f>SUM(N4:N183)</f>
        <v>44750000</v>
      </c>
      <c r="P184" s="2">
        <f>SUM(P4:P156)</f>
        <v>107508074</v>
      </c>
      <c r="R184" s="2">
        <f>SUM(R4:R156)</f>
        <v>57754276</v>
      </c>
      <c r="T184" s="2">
        <f>SUM(T4:T156)</f>
        <v>94503107</v>
      </c>
      <c r="V184" s="2">
        <f>SUM(V4:V156)</f>
        <v>0</v>
      </c>
      <c r="X184" s="2">
        <f>SUM(X4:X156)</f>
        <v>0</v>
      </c>
      <c r="Z184" s="2">
        <f>SUM(Z4:Z156)</f>
        <v>0</v>
      </c>
      <c r="AB184" s="2">
        <f t="shared" ref="AB184:AK184" si="0">SUM(AB4:AB156)</f>
        <v>0</v>
      </c>
      <c r="AC184" s="2">
        <f t="shared" si="0"/>
        <v>0</v>
      </c>
      <c r="AD184" s="2">
        <f t="shared" si="0"/>
        <v>0</v>
      </c>
      <c r="AE184" s="2">
        <f t="shared" si="0"/>
        <v>0</v>
      </c>
      <c r="AF184" s="2">
        <f t="shared" si="0"/>
        <v>0</v>
      </c>
      <c r="AG184" s="2">
        <f t="shared" si="0"/>
        <v>0</v>
      </c>
      <c r="AH184" s="2">
        <f t="shared" si="0"/>
        <v>0</v>
      </c>
      <c r="AI184" s="2">
        <f t="shared" si="0"/>
        <v>0</v>
      </c>
      <c r="AJ184" s="2">
        <f t="shared" si="0"/>
        <v>0</v>
      </c>
      <c r="AK184" s="2">
        <f t="shared" si="0"/>
        <v>0</v>
      </c>
      <c r="AN184" s="2">
        <f>SUM(AN4:AN183)</f>
        <v>322767909</v>
      </c>
      <c r="AO184" s="2"/>
      <c r="AP184" s="2"/>
      <c r="AQ184" s="2"/>
      <c r="AR184" s="2">
        <f ca="1">SUM(AR4:AR183)</f>
        <v>214000000</v>
      </c>
      <c r="AS184" s="21" t="s">
        <v>213</v>
      </c>
      <c r="AT184" s="22">
        <f ca="1">COUNTIF(AS4:AS183,"Smt-1 Lunas")</f>
        <v>18</v>
      </c>
    </row>
    <row r="185" spans="1:46" x14ac:dyDescent="0.2">
      <c r="B185" s="3" t="s">
        <v>214</v>
      </c>
      <c r="C185" s="3"/>
      <c r="AS185" s="23" t="s">
        <v>215</v>
      </c>
      <c r="AT185" s="24">
        <f ca="1">COUNTIF(AS4:AS183,"SY2627 Lunas")</f>
        <v>20</v>
      </c>
    </row>
    <row r="186" spans="1:46" x14ac:dyDescent="0.2">
      <c r="C186" s="25" t="s">
        <v>216</v>
      </c>
      <c r="N186" s="2">
        <f>$B156-COUNTIF(N4:N183,0)</f>
        <v>38</v>
      </c>
      <c r="P186" s="2">
        <f>$B156-COUNTIF(P4:P183,0)</f>
        <v>-39</v>
      </c>
      <c r="R186" s="2">
        <f>$B156-COUNTIF(R4:R183,0)</f>
        <v>-48</v>
      </c>
      <c r="T186" s="2">
        <f>$B156-COUNTIF(T4:T183,0)</f>
        <v>-61</v>
      </c>
      <c r="V186" s="2">
        <f>$B156-COUNTIF(V4:V156,0)</f>
        <v>-99</v>
      </c>
      <c r="X186" s="2">
        <f>$B156-COUNTIF(X4:X156,0)</f>
        <v>-99</v>
      </c>
      <c r="Z186" s="2">
        <f>$B156-COUNTIF(Z4:Z156,0)</f>
        <v>-99</v>
      </c>
      <c r="AB186" s="2">
        <f>$B156-COUNTIF(AB4:AB156,0)</f>
        <v>-99</v>
      </c>
      <c r="AD186" s="2">
        <f>$B156-COUNTIF(AD4:AD156,0)</f>
        <v>-99</v>
      </c>
      <c r="AF186" s="2">
        <f>$B156-COUNTIF(AF4:AF156,0)</f>
        <v>-99</v>
      </c>
    </row>
    <row r="187" spans="1:46" x14ac:dyDescent="0.2">
      <c r="C187" s="13" t="s">
        <v>42</v>
      </c>
    </row>
    <row r="188" spans="1:46" x14ac:dyDescent="0.2">
      <c r="C188" s="13" t="s">
        <v>71</v>
      </c>
      <c r="I188" s="5"/>
      <c r="K188" s="4" t="s">
        <v>217</v>
      </c>
      <c r="L188">
        <f>COUNTIF(L4:L183,"Ayunda")</f>
        <v>26</v>
      </c>
    </row>
    <row r="189" spans="1:46" x14ac:dyDescent="0.2">
      <c r="C189" s="13" t="s">
        <v>95</v>
      </c>
      <c r="I189" s="6"/>
      <c r="K189" s="4" t="s">
        <v>218</v>
      </c>
      <c r="L189">
        <f>COUNTIF(L4:L183,"Bambang")</f>
        <v>27</v>
      </c>
    </row>
    <row r="190" spans="1:46" x14ac:dyDescent="0.2">
      <c r="C190" s="13" t="s">
        <v>104</v>
      </c>
      <c r="I190" s="7"/>
      <c r="K190" s="4" t="s">
        <v>219</v>
      </c>
      <c r="L190">
        <f>COUNTIF(L4:L183,"David")</f>
        <v>30</v>
      </c>
    </row>
    <row r="191" spans="1:46" x14ac:dyDescent="0.2">
      <c r="C191" s="13" t="s">
        <v>145</v>
      </c>
      <c r="I191" s="8"/>
      <c r="K191" s="4" t="s">
        <v>220</v>
      </c>
      <c r="L191">
        <f>COUNTIF(L4:L183,"Indra")</f>
        <v>38</v>
      </c>
    </row>
    <row r="192" spans="1:46" x14ac:dyDescent="0.2">
      <c r="C192" s="13" t="s">
        <v>152</v>
      </c>
      <c r="I192" s="9"/>
      <c r="K192" s="4" t="s">
        <v>221</v>
      </c>
      <c r="L192">
        <f>COUNTIF(L4:L183,"Susi")</f>
        <v>2</v>
      </c>
    </row>
    <row r="193" spans="3:12" x14ac:dyDescent="0.2">
      <c r="C193" s="13" t="s">
        <v>155</v>
      </c>
      <c r="I193" s="10"/>
      <c r="K193" s="4" t="s">
        <v>222</v>
      </c>
      <c r="L193">
        <f>COUNTIF(L4:L183,"Tony")</f>
        <v>57</v>
      </c>
    </row>
    <row r="194" spans="3:12" x14ac:dyDescent="0.2">
      <c r="L194">
        <f>SUM(L188:L193)</f>
        <v>180</v>
      </c>
    </row>
  </sheetData>
  <sortState xmlns:xlrd2="http://schemas.microsoft.com/office/spreadsheetml/2017/richdata2" ref="A4:AS183">
    <sortCondition ref="L4:L183"/>
    <sortCondition descending="1" ref="AN4:AN183"/>
  </sortState>
  <mergeCells count="30">
    <mergeCell ref="AS2:AS3"/>
    <mergeCell ref="B2:B3"/>
    <mergeCell ref="C2:C3"/>
    <mergeCell ref="D2:D3"/>
    <mergeCell ref="E2:E3"/>
    <mergeCell ref="F2:F3"/>
    <mergeCell ref="G2:G3"/>
    <mergeCell ref="H2:H3"/>
    <mergeCell ref="L2:L3"/>
    <mergeCell ref="R2:S2"/>
    <mergeCell ref="T2:U2"/>
    <mergeCell ref="V2:W2"/>
    <mergeCell ref="X2:Y2"/>
    <mergeCell ref="Z2:AA2"/>
    <mergeCell ref="AB2:AC2"/>
    <mergeCell ref="AD2:AE2"/>
    <mergeCell ref="N1:O1"/>
    <mergeCell ref="I2:I3"/>
    <mergeCell ref="M2:M3"/>
    <mergeCell ref="N2:O2"/>
    <mergeCell ref="P2:Q2"/>
    <mergeCell ref="AF2:AG2"/>
    <mergeCell ref="AH2:AI2"/>
    <mergeCell ref="AR2:AR3"/>
    <mergeCell ref="AN2:AN3"/>
    <mergeCell ref="AO2:AO3"/>
    <mergeCell ref="AP2:AP3"/>
    <mergeCell ref="AQ2:AQ3"/>
    <mergeCell ref="AJ2:AK2"/>
    <mergeCell ref="AL2:AM2"/>
  </mergeCells>
  <conditionalFormatting sqref="C4:F4 D184:E184 I186:K186 C187:C193">
    <cfRule type="expression" dxfId="2" priority="3">
      <formula>ISEVEN(ROW())</formula>
    </cfRule>
  </conditionalFormatting>
  <conditionalFormatting sqref="H184:K184">
    <cfRule type="expression" dxfId="1" priority="2">
      <formula>ISEVEN(ROW())</formula>
    </cfRule>
  </conditionalFormatting>
  <conditionalFormatting sqref="H4:AS183 G4:G184 C5:E183 F5:F184 B4:B186">
    <cfRule type="expression" dxfId="0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Pramono</dc:creator>
  <cp:lastModifiedBy>Tony Pramono</cp:lastModifiedBy>
  <dcterms:created xsi:type="dcterms:W3CDTF">2026-09-09T06:57:19Z</dcterms:created>
  <dcterms:modified xsi:type="dcterms:W3CDTF">2026-09-17T15:06:15Z</dcterms:modified>
</cp:coreProperties>
</file>